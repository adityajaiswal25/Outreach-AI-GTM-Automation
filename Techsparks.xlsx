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sparks" sheetId="1" r:id="rId5"/>
  </sheets>
  <definedNames/>
  <calcPr/>
</workbook>
</file>

<file path=xl/sharedStrings.xml><?xml version="1.0" encoding="utf-8"?>
<sst xmlns="http://schemas.openxmlformats.org/spreadsheetml/2006/main" count="632" uniqueCount="571">
  <si>
    <t>Name</t>
  </si>
  <si>
    <t>Title</t>
  </si>
  <si>
    <t>Company</t>
  </si>
  <si>
    <t>Linkedin</t>
  </si>
  <si>
    <t>Processed</t>
  </si>
  <si>
    <t>TitleCompany</t>
  </si>
  <si>
    <t>LinkedInRaw</t>
  </si>
  <si>
    <t>Jonathan Ross</t>
  </si>
  <si>
    <t>Y</t>
  </si>
  <si>
    <t>Founder &amp; CEO, Groq</t>
  </si>
  <si>
    <t>https://linkedin.com/in/ross-jonathan</t>
  </si>
  <si>
    <t>Nandita Sinha</t>
  </si>
  <si>
    <t>CEO, Myntra</t>
  </si>
  <si>
    <t>https://linkedin.com/in/nandita-sinha-3020275?originalSubdomain=in</t>
  </si>
  <si>
    <t>Ronnie Screwvala</t>
  </si>
  <si>
    <t>Co-founder, upGrad &amp; Swades Foundation</t>
  </si>
  <si>
    <t>https://www.linkedin.com/in/ronniescrewvala/?originalSubdomain=in</t>
  </si>
  <si>
    <t>Mukesh Bansal</t>
  </si>
  <si>
    <t>Founder &amp; CEO, Nurix AI</t>
  </si>
  <si>
    <t>https://www.linkedin.com/in/mubansal/</t>
  </si>
  <si>
    <t>Vishal Dhupar</t>
  </si>
  <si>
    <t>Managing Director, South Asia, NVIDIA</t>
  </si>
  <si>
    <t>https://linkedin.com/in/vishaldhupar?originalSubdomain=in</t>
  </si>
  <si>
    <t>Vani Kola</t>
  </si>
  <si>
    <t>Managing Director, Kalaari Capital</t>
  </si>
  <si>
    <t>https://www.linkedin.com/in/vanikola</t>
  </si>
  <si>
    <t>Mohit Saxena</t>
  </si>
  <si>
    <t>Co-founder &amp; CTO, Inmobi</t>
  </si>
  <si>
    <t>https://www.linkedin.com/in/mohitsaxena</t>
  </si>
  <si>
    <t>Rajan Anandan</t>
  </si>
  <si>
    <t>Managing Director, Peak XV &amp; Surge</t>
  </si>
  <si>
    <t>https://www.linkedin.com/in/rajan-anandan-2481b814?originalSubdomain=in</t>
  </si>
  <si>
    <t>Kaivalya        Vohra</t>
  </si>
  <si>
    <t>Co-founder, Zepto</t>
  </si>
  <si>
    <t>https://www.linkedin.com/in/kaivalya-vohra?</t>
  </si>
  <si>
    <t>Manav Garg</t>
  </si>
  <si>
    <t>Co-founder &amp; Managing Partner, Together Fund</t>
  </si>
  <si>
    <t>https://www.together.fund/team/manav-garg</t>
  </si>
  <si>
    <t>Meghna Agarwal</t>
  </si>
  <si>
    <t>Co-founder, IndiQube</t>
  </si>
  <si>
    <t>https://www.linkedin.com/in/meghna-agarwal-cofounder-indiqube/</t>
  </si>
  <si>
    <t>Bharat Goenka</t>
  </si>
  <si>
    <t>Vice Chairperson, Tally Solutions</t>
  </si>
  <si>
    <t>https://techsparks.yourstory.com/2025#</t>
  </si>
  <si>
    <t>Rishi Das</t>
  </si>
  <si>
    <t>https://www.linkedin.com/in/rishi-das-cofounder-indiqube/</t>
  </si>
  <si>
    <t>Puneet Chandok</t>
  </si>
  <si>
    <t>President, Microsoft India &amp; South Asia</t>
  </si>
  <si>
    <t>https://www.linkedin.com/in/puneetchandok/</t>
  </si>
  <si>
    <t>Aravind Sanka</t>
  </si>
  <si>
    <t>Co-founder, Rapido</t>
  </si>
  <si>
    <t>https://www.linkedin.com/in/aravind-sanka-8a876045/</t>
  </si>
  <si>
    <t>Ananth Narayanan</t>
  </si>
  <si>
    <t>Founder &amp; CEO, BRND.ME (formerly Mensa Brands)</t>
  </si>
  <si>
    <t>https://www.linkedin.com/in/ananth-narayanan1</t>
  </si>
  <si>
    <t>Anish Thambi</t>
  </si>
  <si>
    <t>Head of Marketing India, Snowflake</t>
  </si>
  <si>
    <t>https://www.linkedin.com/in/anishthambi/?originalSubdomain=in</t>
  </si>
  <si>
    <t>Manu Jain</t>
  </si>
  <si>
    <t>CEO, G42 India</t>
  </si>
  <si>
    <t>https://ae.linkedin.com/in/manukumarjain</t>
  </si>
  <si>
    <t>Kavita Viswanath</t>
  </si>
  <si>
    <t>SVP &amp; India Country Lead, Toast</t>
  </si>
  <si>
    <t>https://www.linkedin.com/in/kavita-viswanath-7a0b581/</t>
  </si>
  <si>
    <t>Arzan Singpurwalla</t>
  </si>
  <si>
    <t>Lead Channel Partnerships - Business Messaging - India, Meta</t>
  </si>
  <si>
    <t>https://www.linkedin.com/in/arzanprofile001/?originalSubdomain=in</t>
  </si>
  <si>
    <t>Shivakumar Ganesan</t>
  </si>
  <si>
    <t>Co-founder &amp; CEO, Exotel</t>
  </si>
  <si>
    <t>https://www.linkedin.com/in/shivku</t>
  </si>
  <si>
    <t>Priya Narasimhan</t>
  </si>
  <si>
    <t>CBO, Indus Appstore</t>
  </si>
  <si>
    <t>https://www.linkedin.com/in/priya-narasimhan-1a40862/</t>
  </si>
  <si>
    <t>Vishesh Rajaram</t>
  </si>
  <si>
    <t>Managing Partner, Speciale Invest</t>
  </si>
  <si>
    <t>https://www.linkedin.com/in/visheshraj/</t>
  </si>
  <si>
    <t>Hemant Gala</t>
  </si>
  <si>
    <t>CEO, PhonePe Lending</t>
  </si>
  <si>
    <t>https://www.linkedin.com/in/hemant-gala-95a3327/</t>
  </si>
  <si>
    <t>Sanjay Mohan</t>
  </si>
  <si>
    <t>Group Chief Technology Officer, MakeMyTrip</t>
  </si>
  <si>
    <t>https://www.linkedin.com/in/snjymhn</t>
  </si>
  <si>
    <t>Nupur Goenka</t>
  </si>
  <si>
    <t>Executive Director, Tally Solutions</t>
  </si>
  <si>
    <t>https://in.linkedin.com/in/nupur-goenka-a13b18101</t>
  </si>
  <si>
    <t>Kaushik Das</t>
  </si>
  <si>
    <t>Managing Director, Catalyst Brands India</t>
  </si>
  <si>
    <t>https://www.linkedin.com/in/kaushikdaskd/?originalSubdomain=in</t>
  </si>
  <si>
    <t>Bruce Keith</t>
  </si>
  <si>
    <t>CEO, InvestorAi</t>
  </si>
  <si>
    <t>https://www.linkedin.com/in/bruce-keith-b261bb12/</t>
  </si>
  <si>
    <t>Madhusudhan Rao</t>
  </si>
  <si>
    <t>CTO, Swiggy</t>
  </si>
  <si>
    <t>https://www.linkedin.com/in/madhusudhanrao</t>
  </si>
  <si>
    <t>Noi Cecilia Oldne</t>
  </si>
  <si>
    <t>Investor &amp; Chief India Representative, Sweden-India Business Council</t>
  </si>
  <si>
    <t>https://www.linkedin.com/in/noi-cecilia-oldne-448b6b8/?originalSubdomain=in</t>
  </si>
  <si>
    <t>Balaji Thiagarajan</t>
  </si>
  <si>
    <t>CTO &amp; Product Officer, Flipkart</t>
  </si>
  <si>
    <t>https://www.linkedin.com/in/balajith/</t>
  </si>
  <si>
    <t>Jithendra Vepa</t>
  </si>
  <si>
    <t>Co-founder &amp; CTO, Observe.AI</t>
  </si>
  <si>
    <t>https://www.linkedin.com/in/jithendra-vepa</t>
  </si>
  <si>
    <t>Arjun Rao</t>
  </si>
  <si>
    <t>General Partner, Speciale Invest</t>
  </si>
  <si>
    <t>https://www.linkedin.com/in/raoarjun/</t>
  </si>
  <si>
    <t>Paranth Thiruvengadam</t>
  </si>
  <si>
    <t>Head of Engineering &amp; India Site Leader, Atlassian</t>
  </si>
  <si>
    <t>https://www.linkedin.com/in/paranth-thiruvengadam</t>
  </si>
  <si>
    <t>Sandeep Singhal</t>
  </si>
  <si>
    <t>Co-founder &amp; Managing Partner, WestBridge Capital</t>
  </si>
  <si>
    <t>https://www.linkedin.com/in/sandeep-singhal-604499/</t>
  </si>
  <si>
    <t>Kiyoko Hashiba</t>
  </si>
  <si>
    <t>Director for Global Promotion, Tokyo Metropolitan Government</t>
  </si>
  <si>
    <t>Awais Ahmed</t>
  </si>
  <si>
    <t>Founder &amp; CEO, Pixxel</t>
  </si>
  <si>
    <t>https://in.linkedin.com/in/awaisahmedna</t>
  </si>
  <si>
    <t>Akis Evangelidis</t>
  </si>
  <si>
    <t>Co-founder &amp; India President, Nothing</t>
  </si>
  <si>
    <t>https://linkedin.com/in/aevangelidis?originalSubdomain=uk</t>
  </si>
  <si>
    <t>Mathangi Sri Ramachandran</t>
  </si>
  <si>
    <t>Head of YuVerse, Yubi Group</t>
  </si>
  <si>
    <t>https://www.linkedin.com/in/mathangisri/</t>
  </si>
  <si>
    <t>Vishal Gupta</t>
  </si>
  <si>
    <t>CEO, PhonePe Insurance</t>
  </si>
  <si>
    <t>https://www.linkedin.com/in/vishalgupta78/</t>
  </si>
  <si>
    <t>Vijayant Rai</t>
  </si>
  <si>
    <t>Managing Director - India, Snowflake</t>
  </si>
  <si>
    <t>https://www.linkedin.com/in/vijayant-rai-226203a/</t>
  </si>
  <si>
    <t>Aniruddha Patwardhan</t>
  </si>
  <si>
    <t>Head of Engineering, PhonePe</t>
  </si>
  <si>
    <t>https://www.linkedin.com/in/aniruddha/</t>
  </si>
  <si>
    <t>Amar Singh</t>
  </si>
  <si>
    <t>GTM India Lead, Groq</t>
  </si>
  <si>
    <t>https://www.linkedin.com/in/akaurbajwa/</t>
  </si>
  <si>
    <t>Anand Jain</t>
  </si>
  <si>
    <t>Co-founder, CleverTap</t>
  </si>
  <si>
    <t>https://www.linkedin.com/in/anand-jain-07a8012/?originalSubdomain=in</t>
  </si>
  <si>
    <t>Vivek Raghavan</t>
  </si>
  <si>
    <t>Co-founder, Sarvam AI</t>
  </si>
  <si>
    <t>https://www.linkedin.com/in/vivek-raghavan-16005424/?originalSubdomain=in</t>
  </si>
  <si>
    <t>Vasanthi Ramesh</t>
  </si>
  <si>
    <t>Vice President Of Engineering &amp; Engineering Site leader, NetApp India</t>
  </si>
  <si>
    <t>https://www.linkedin.com/in/rvasanthi/</t>
  </si>
  <si>
    <t>Shamik Sharma</t>
  </si>
  <si>
    <t>Head of Product for ITSM, Atlassian</t>
  </si>
  <si>
    <t>https://www.linkedin.com/in/shamiksharma</t>
  </si>
  <si>
    <t>Sandeep Alur</t>
  </si>
  <si>
    <t>CTO, Microsoft Innovation Hub, Microsoft India</t>
  </si>
  <si>
    <t>https://www.linkedin.com/in/sandeepalur/?originalSubdomain=in</t>
  </si>
  <si>
    <t>Kaushik Mudda</t>
  </si>
  <si>
    <t>Co-founder &amp; CEO, Ethereal Machines</t>
  </si>
  <si>
    <t>https://www.linkedin.com/in/kaushikmudda</t>
  </si>
  <si>
    <t>Raghav Chandra</t>
  </si>
  <si>
    <t>Co-founder &amp; CPTO, Urban Company</t>
  </si>
  <si>
    <t>https://www.linkedin.com/in/raghavchandra/</t>
  </si>
  <si>
    <t>Nayani Nasa</t>
  </si>
  <si>
    <t>India Lead - Tech Provider Ecosystem, Meta</t>
  </si>
  <si>
    <t>https://www.linkedin.com/in/nayani-nasa-b74b6318/</t>
  </si>
  <si>
    <t>Amrit Acharya</t>
  </si>
  <si>
    <t>Co-founder &amp; CEO, Zetwerk</t>
  </si>
  <si>
    <t>https://www.linkedin.com/in/amrit-acharya/?originalSubdomain=in</t>
  </si>
  <si>
    <t>Gautam Aggarwal</t>
  </si>
  <si>
    <t>President, India &amp; South Asia, Mastercard</t>
  </si>
  <si>
    <t>https://www.linkedin.com/in/gautamagg/?originalSubdomain=in</t>
  </si>
  <si>
    <t>Ramakant Sharma</t>
  </si>
  <si>
    <t>Founder &amp; CEO, Livspace</t>
  </si>
  <si>
    <t>https://www.linkedin.com/in/sharmaramakant/</t>
  </si>
  <si>
    <t>Priya Patankar</t>
  </si>
  <si>
    <t>Head of Corporate Communications, PhonePe</t>
  </si>
  <si>
    <t>https://www.linkedin.com/in/patankarpriya/</t>
  </si>
  <si>
    <t>Ish Babbar</t>
  </si>
  <si>
    <t>Co-founder &amp; CTO, InsuranceDekho</t>
  </si>
  <si>
    <t>https://www.linkedin.com/in/ish-babbar</t>
  </si>
  <si>
    <t>Dhruv Gupta</t>
  </si>
  <si>
    <t>Co-founder, Orange Health Labs</t>
  </si>
  <si>
    <t>https://www.linkedin.com/in/dhruvgupta1/</t>
  </si>
  <si>
    <t>Kunal Kapoor</t>
  </si>
  <si>
    <t>Actor &amp; Co-founder, Ketto</t>
  </si>
  <si>
    <t>https://en.wikipedia.org/wiki/Kunal_Kapoor_(actor,_born_1977)</t>
  </si>
  <si>
    <t>Scott Albin</t>
  </si>
  <si>
    <t>General Manager, Groq APAC, Groq</t>
  </si>
  <si>
    <t>https://www.linkedin.com/in/scottalbin/?originalSubdomain=sg</t>
  </si>
  <si>
    <t>Emma Rozada</t>
  </si>
  <si>
    <t>Founder, Interplanetary Species, Nexular &amp; Techno Creatives Venture</t>
  </si>
  <si>
    <t>https://www.linkedin.com/in/rozada/?originalSubdomain=se</t>
  </si>
  <si>
    <t>Priyadarshi Mohapatra</t>
  </si>
  <si>
    <t>Founder &amp; CEO, CureBay</t>
  </si>
  <si>
    <t>https://www.linkedin.com/in/priyadarshi-mohapatra-a051823/</t>
  </si>
  <si>
    <t>Malini Dutt</t>
  </si>
  <si>
    <t>Trade and Investment Commissioner, India, NSW</t>
  </si>
  <si>
    <t>https://in.linkedin.com/in/malini-dutt-99757791</t>
  </si>
  <si>
    <t>Shubhradeep Guha</t>
  </si>
  <si>
    <t>Global Delivery Head, Publicis Sapient</t>
  </si>
  <si>
    <t>https://www.linkedin.com/in/shubhradeep/</t>
  </si>
  <si>
    <t>Srinath Ramakkrushnan</t>
  </si>
  <si>
    <t>Co-founder &amp; COO, Zetwerk</t>
  </si>
  <si>
    <t>https://linkedin.com/in/srinath-ramakkrushnan-a658629?originalSubdomain=in</t>
  </si>
  <si>
    <t>Dr Nishit Narang</t>
  </si>
  <si>
    <t>Group Head, Computer and Information Systems,	BITS Pilani Work Integrated Learning Programmes</t>
  </si>
  <si>
    <t>https://www.linkedin.com/in/nishit-narang-8a70781/?originalSubdomain=in</t>
  </si>
  <si>
    <t>Rohan Nayak</t>
  </si>
  <si>
    <t>Co-founder &amp; CEO, Pocket Entertainment</t>
  </si>
  <si>
    <t>https://www.linkedin.com/in/rohan-nayak/</t>
  </si>
  <si>
    <t>Hemant Kamatgi</t>
  </si>
  <si>
    <t>Vice President of Customer Experience Platforms, Ford Motor Company</t>
  </si>
  <si>
    <t>https://www.linkedin.com/in/hemant-kamatgi-0a56032/?originalSubdomain=in</t>
  </si>
  <si>
    <t>Salim Naim</t>
  </si>
  <si>
    <t>Director of AI, Microsoft Global Black Belt, Asia</t>
  </si>
  <si>
    <t>https://www.linkedin.com/in/salimnaim/?originalSubdomain=au</t>
  </si>
  <si>
    <t>Naoto Nakadate</t>
  </si>
  <si>
    <t>Senior Director, Japan-India Startup Hub, JETRO</t>
  </si>
  <si>
    <t>https://www.linkedin.com/in/naoto-nakadate-88b96837/?originalSubdomain=jp</t>
  </si>
  <si>
    <t>Tejas Goenka</t>
  </si>
  <si>
    <t>Managing Director, Tally Solutions</t>
  </si>
  <si>
    <t>https://www.linkedin.com/in/tejas-goenka-3ab25244/?</t>
  </si>
  <si>
    <t>Vishwanath Ramarao</t>
  </si>
  <si>
    <t>Co-founder &amp; CPTO, Acko</t>
  </si>
  <si>
    <t>https://www.linkedin.com/in/vishwanath-ram-8826722/</t>
  </si>
  <si>
    <t>Nikhil Mittal</t>
  </si>
  <si>
    <t>CTO, Zepto</t>
  </si>
  <si>
    <t>https://www.linkedin.com/in/nikhilkmittal</t>
  </si>
  <si>
    <t>Rakesh Ravuri</t>
  </si>
  <si>
    <t>CTO, Publicis Sapient</t>
  </si>
  <si>
    <t>https://www.linkedin.com/in/rakeshravuri/</t>
  </si>
  <si>
    <t>Nitin Mittal</t>
  </si>
  <si>
    <t>Digital Natives and Startup Leader, Microsoft India</t>
  </si>
  <si>
    <t>https://www.linkedin.com/in/nitinmittal18/</t>
  </si>
  <si>
    <t>Adithyan RK</t>
  </si>
  <si>
    <t>Co-founder &amp; CEO, Hyring Inc</t>
  </si>
  <si>
    <t>https://www.linkedin.com/in/adithyan/</t>
  </si>
  <si>
    <t>Aviral Bhatnagar</t>
  </si>
  <si>
    <t>Managing Partner, AJVC</t>
  </si>
  <si>
    <t>https://www.linkedin.com/in/aviral-bhatnagar-ajuniorv</t>
  </si>
  <si>
    <t>Madhur Makkar</t>
  </si>
  <si>
    <t>Principal, RTP Global</t>
  </si>
  <si>
    <t>https://linkedin.com/in/madhur-makkar</t>
  </si>
  <si>
    <t>Devika Mittal</t>
  </si>
  <si>
    <t>Regional Head, Ava Labs</t>
  </si>
  <si>
    <t>https://www.linkedin.com/in/devikamittal/</t>
  </si>
  <si>
    <t>Rohant Shyam Rammohan</t>
  </si>
  <si>
    <t>Lead - Partnerships, Business Messaging - India, Meta</t>
  </si>
  <si>
    <t>https://www.linkedin.com/in/rohantshyam/?originalSubdomain=in</t>
  </si>
  <si>
    <t>Raghuveer Subodha</t>
  </si>
  <si>
    <t>AI Engineering Leader, EY GDS</t>
  </si>
  <si>
    <t>https://www.linkedin.com/in/rsubodha/?originalSubdomain=in</t>
  </si>
  <si>
    <t>Puspen Maity</t>
  </si>
  <si>
    <t>CEO, Technosport</t>
  </si>
  <si>
    <t>https://www.linkedin.com/in/puspen-maity-6a1b5614/?originalSubdomain=in</t>
  </si>
  <si>
    <t>Kshitij Khandelwal</t>
  </si>
  <si>
    <t>Founder &amp; CTO, Pixxel</t>
  </si>
  <si>
    <t>https://in.linkedin.com/in/khandelwalkshitij</t>
  </si>
  <si>
    <t>Laina Emmanuel</t>
  </si>
  <si>
    <t>Co-founder &amp; CEO, BrainSightAI</t>
  </si>
  <si>
    <t>https://www.linkedin.com/in/laina-emmanuel-8a873b33?utm_source=share&amp;utm_campaign=share_via&amp;utm_content=profile&amp;utm_medium=android_app</t>
  </si>
  <si>
    <t>Thiru S Vengadam</t>
  </si>
  <si>
    <t>AI Service Transformation Leader, EY GDS</t>
  </si>
  <si>
    <t>https://www.ey.com/en_in/people/thiru-s-vengadam</t>
  </si>
  <si>
    <t>Kushal Manupati</t>
  </si>
  <si>
    <t>Growth and Operations Lead, South Asia, Binance</t>
  </si>
  <si>
    <t>https://www.linkedin.com/in/kushalmanupati/</t>
  </si>
  <si>
    <t>Suraj Aiar</t>
  </si>
  <si>
    <t>Founder &amp; CEO, QWR</t>
  </si>
  <si>
    <t>https://www.linkedin.com/in/suraj-aiar/</t>
  </si>
  <si>
    <t>Narendra Yadav</t>
  </si>
  <si>
    <t>CBO, Sr.Vice President, Paytm</t>
  </si>
  <si>
    <t>https://www.linkedin.com/in/narendrayadav/?originalSubdomain=in</t>
  </si>
  <si>
    <t>Ganesh Ramakrishnan</t>
  </si>
  <si>
    <t>PI - BharatGen; Professor, IIT Bombay</t>
  </si>
  <si>
    <t>https://www.cse.iitb.ac.in/~ganesh/</t>
  </si>
  <si>
    <t>Manoj Agarwal</t>
  </si>
  <si>
    <t>Co-founder &amp; President, DevRev</t>
  </si>
  <si>
    <t>https://www.linkedin.com/in/devreveler/</t>
  </si>
  <si>
    <t>Ananth Shroff</t>
  </si>
  <si>
    <t>Founder, DPDzero</t>
  </si>
  <si>
    <t>https://linkedin.com/in/ananth-shroff-71631a61?</t>
  </si>
  <si>
    <t>Pankaj Mitra</t>
  </si>
  <si>
    <t>Partner, Bessemer Venture Partners</t>
  </si>
  <si>
    <t>https://www.linkedin.com/in/pankajmitra/</t>
  </si>
  <si>
    <t>Yoko Fukata</t>
  </si>
  <si>
    <t>Director/Head of Sony Ventures India, Sony Ventures Corporation</t>
  </si>
  <si>
    <t>https://www.linkedin.com/in/yoko-fukata-94633a173/</t>
  </si>
  <si>
    <t>Kevin Scott</t>
  </si>
  <si>
    <t>Corporate Vice President - Global Enterprise Sales, Microsoft</t>
  </si>
  <si>
    <t>https://www.linkedin.com/in/kevsco/</t>
  </si>
  <si>
    <t>Abhishek Poddar</t>
  </si>
  <si>
    <t>Co-founder &amp; CEO, Plum</t>
  </si>
  <si>
    <t>https://www.linkedin.com/in/abhishek24</t>
  </si>
  <si>
    <t>Nakul Kundra</t>
  </si>
  <si>
    <t>Co-founder, Devnagri AI</t>
  </si>
  <si>
    <t>https://www.linkedin.com/in/kundra-nakul/?originalSubdomain=in</t>
  </si>
  <si>
    <t>Bala Gorthi</t>
  </si>
  <si>
    <t>COO, Teleradiology Solutions (TRS)</t>
  </si>
  <si>
    <t>https://www.linkedin.com/in/balagorthi/</t>
  </si>
  <si>
    <t>Moiz Arsiwala</t>
  </si>
  <si>
    <t>Co-founder &amp; CTO, WorkIndia</t>
  </si>
  <si>
    <t>https://www.linkedin.com/in/moiz-arsiwala-8a990032/</t>
  </si>
  <si>
    <t>Ankur Jain</t>
  </si>
  <si>
    <t>Co-founder, Jivi AI</t>
  </si>
  <si>
    <t>https://www.linkedin.com/in/ankjain</t>
  </si>
  <si>
    <t>Bharat Krishnamurthy</t>
  </si>
  <si>
    <t>CTO, Yubi</t>
  </si>
  <si>
    <t>https://www.linkedin.com/in/bharatkrishnamurthy/?originalSubdomain=in</t>
  </si>
  <si>
    <t>Ankush Sabharwal</t>
  </si>
  <si>
    <t>Founder &amp; CEO, CoRover.ai</t>
  </si>
  <si>
    <t>https://www.linkedin.com/in/ankushsabharwal?</t>
  </si>
  <si>
    <t>Siddharth Bhardwaj</t>
  </si>
  <si>
    <t>Co-founder &amp; CTO, Beatoven.ai</t>
  </si>
  <si>
    <t>https://www.linkedin.com/in/sid0710?</t>
  </si>
  <si>
    <t>Swati  Murarka</t>
  </si>
  <si>
    <t>Principal, Bertelsmann India Investments</t>
  </si>
  <si>
    <t>https://www.linkedin.com/in/swatimurarka/</t>
  </si>
  <si>
    <t>Umesh Bude</t>
  </si>
  <si>
    <t>CTO, Pocket Entertainment</t>
  </si>
  <si>
    <t>https://www.linkedin.com/in/umesh-bude/</t>
  </si>
  <si>
    <t>https://www.linkedin.com/in/vishalguptabvp/</t>
  </si>
  <si>
    <t>Satyajit Kanekar</t>
  </si>
  <si>
    <t>Co-founder, 86400</t>
  </si>
  <si>
    <t>https://in.linkedin.com/in/satyajitkanekar</t>
  </si>
  <si>
    <t>Sandeep Jethwani</t>
  </si>
  <si>
    <t>Co-founder, Dezerv</t>
  </si>
  <si>
    <t>https://www.linkedin.com/in/sandeepjethwani</t>
  </si>
  <si>
    <t>Jollydeep Kaur</t>
  </si>
  <si>
    <t>Head of Marketing, NextGen Cloud Technologies</t>
  </si>
  <si>
    <t>https://www.linkedin.com/in/jollydeep?originalSubdomain=in</t>
  </si>
  <si>
    <t>Hemant Mohapatra</t>
  </si>
  <si>
    <t>Partner, Lightspeed India</t>
  </si>
  <si>
    <t>https://www.linkedin.com/in/hemantmohapatra/?originalSubdomain=in</t>
  </si>
  <si>
    <t>Samanyou Garg</t>
  </si>
  <si>
    <t>Founder, Writesonic</t>
  </si>
  <si>
    <t>https://www.linkedin.com/in/samanyougarg</t>
  </si>
  <si>
    <t>Khadim Batti</t>
  </si>
  <si>
    <t>Co-founder &amp; CEO, Whatfix</t>
  </si>
  <si>
    <t>https://www.linkedin.com/in/khadim/</t>
  </si>
  <si>
    <t>Dhruv Joshi</t>
  </si>
  <si>
    <t>Co-founder &amp; Global CEO, Cloudphysician</t>
  </si>
  <si>
    <t>https://www.linkedin.com/in/dhruv-joshi-17787a94</t>
  </si>
  <si>
    <t>Mohamed Imran K R</t>
  </si>
  <si>
    <t>Co-founder &amp; CTO, E2E Networks Limited</t>
  </si>
  <si>
    <t>https://www.linkedin.com/in/mohamed-imran-k-r-b115157/</t>
  </si>
  <si>
    <t>Aayush Rai</t>
  </si>
  <si>
    <t>Co-founder &amp; CEO, Inito</t>
  </si>
  <si>
    <t>https://www.linkedin.com/in/aayushinito/?originalSubdomain=in</t>
  </si>
  <si>
    <t>Balaji Rao</t>
  </si>
  <si>
    <t>Area Vice President - India &amp; SAARC, Commvault</t>
  </si>
  <si>
    <t>Sreeshankar S. Nair</t>
  </si>
  <si>
    <t>Founder &amp; CEO, Brainwired</t>
  </si>
  <si>
    <t>https://www.linkedin.com/in/sreeshankar-nair-6b1414144/?originalSubdomain=in</t>
  </si>
  <si>
    <t>Rajendran Dandapani</t>
  </si>
  <si>
    <t>Director of Technology, Zoho Corp.</t>
  </si>
  <si>
    <t>https://www.linkedin.com/in/rajendran/</t>
  </si>
  <si>
    <t>Lisa Ericsson</t>
  </si>
  <si>
    <t>Head of KTH Innovation &amp; CEO, KTH Ventures</t>
  </si>
  <si>
    <t>https://www.linkedin.com/in/lisa-ericsson-aa27a9/</t>
  </si>
  <si>
    <t>Tushar Chhabra</t>
  </si>
  <si>
    <t>Co-founder &amp; CEO, CronAI</t>
  </si>
  <si>
    <t>https://linkedin.com/in/tushar-chhabra-739b1929?originalSubdomain=uk</t>
  </si>
  <si>
    <t>Debjyoti Biswas</t>
  </si>
  <si>
    <t>AI Solutions Architect, Groq</t>
  </si>
  <si>
    <t>https://www.linkedin.com/in/djb4ai/?originalSubdomain=in</t>
  </si>
  <si>
    <t>Venkat Ragothaman</t>
  </si>
  <si>
    <t>Senior Director Of Engineering, Security &amp; AI, NetApp</t>
  </si>
  <si>
    <t>https://www.linkedin.com/in/venkr/?originalSubdomain=in</t>
  </si>
  <si>
    <t>Takahisa Ohira</t>
  </si>
  <si>
    <t>Head of Asia Region, Deloitte Tohmatsu Venture Support</t>
  </si>
  <si>
    <t>https://www.linkedin.com/in/takahisaohira/</t>
  </si>
  <si>
    <t>Anirudh Sharma</t>
  </si>
  <si>
    <t>Co-founder &amp; CEO, Digantara</t>
  </si>
  <si>
    <t>https://www.linkedin.com/in/anirudh-sharma-digantara</t>
  </si>
  <si>
    <t>Rajesh Ramachandran</t>
  </si>
  <si>
    <t>Global Chief Digital Officer, ABB</t>
  </si>
  <si>
    <t>https://www.linkedin.com/in/rajeshramachandranurl/?originalSubdomain=in</t>
  </si>
  <si>
    <t>Mayur Shah</t>
  </si>
  <si>
    <t>Executive Director, Suzuki R&amp;D Center India</t>
  </si>
  <si>
    <t>https://www.linkedin.com/in/mayur-shah-491a871/</t>
  </si>
  <si>
    <t>Sankara Srinivasan Aiyyathurai</t>
  </si>
  <si>
    <t>Founder, Koot</t>
  </si>
  <si>
    <t>https://www.linkedin.com/in/asankar24/</t>
  </si>
  <si>
    <t>Jatin Saini</t>
  </si>
  <si>
    <t>Founder, House of Creators</t>
  </si>
  <si>
    <t>https://www.linkedin.com/in/jatin-saini/?originalSubdomain=in</t>
  </si>
  <si>
    <t>Dushyant Mishra</t>
  </si>
  <si>
    <t>Founder &amp; CEO, Rapid Claims</t>
  </si>
  <si>
    <t>https://www.linkedin.com/in/idushyantmishra-f8/</t>
  </si>
  <si>
    <t>Yashas Karanam</t>
  </si>
  <si>
    <t>Co-founder &amp; COO, Bellatrix Aerospace</t>
  </si>
  <si>
    <t>https://www.linkedin.com/in/yashaskaranam/?originalSubdomain=in</t>
  </si>
  <si>
    <t>Pavan Sondur</t>
  </si>
  <si>
    <t>Co-founder &amp; CEO, CoreWorks AI</t>
  </si>
  <si>
    <t>https://www.linkedin.com/in/pavansondur/</t>
  </si>
  <si>
    <t>Tarun Pathak</t>
  </si>
  <si>
    <t>Research Director – Devices &amp; Ecosystems, Counterpoint Research</t>
  </si>
  <si>
    <t>https://www.linkedin.com/in/tpathak1/?originalSubdomain=in</t>
  </si>
  <si>
    <t>Prabhu Rangarajan</t>
  </si>
  <si>
    <t>Co-founder, M2P Fintech</t>
  </si>
  <si>
    <t>https://www.linkedin.com/in/prabhu-rangarajan/?originalSubdomain=in</t>
  </si>
  <si>
    <t>Gaurav Hinduja</t>
  </si>
  <si>
    <t>Co-Founder, axio</t>
  </si>
  <si>
    <t>https://www.linkedin.com/in/gaurav-hinduja-25a24544/</t>
  </si>
  <si>
    <t>Vishal Virani</t>
  </si>
  <si>
    <t>Co-founder &amp; CEO, Rocket</t>
  </si>
  <si>
    <t>https://www.linkedin.com/in/vishalvirani/?originalSubdomain=in</t>
  </si>
  <si>
    <t>Praveen 	Sridhar</t>
  </si>
  <si>
    <t>Director Partnerships, AWS</t>
  </si>
  <si>
    <t>https://www.linkedin.com/in/prsridhar/?utm_source=share_via&amp;utm_content=profile&amp;utm_medium=member_ios</t>
  </si>
  <si>
    <t>Teena Bhasin</t>
  </si>
  <si>
    <t>Director - Google Cloud Consulting, Google Cloud India</t>
  </si>
  <si>
    <t>https://linkedin.com/in/teena-bhasin-0598b6?originalSubdomain=in</t>
  </si>
  <si>
    <t>Vishnu Subramanian</t>
  </si>
  <si>
    <t>Head of Product and Marketing, E2E Networks Limited</t>
  </si>
  <si>
    <t>https://www.linkedin.com/in/vishnusubramanian/?originalSubdomain=in</t>
  </si>
  <si>
    <t>Adrian Schmidt</t>
  </si>
  <si>
    <t>Co-founder &amp; CEO, Sarla Aviation</t>
  </si>
  <si>
    <t>https://www.linkedin.com/in/adrnschm/?originalSubdomain=in</t>
  </si>
  <si>
    <t>Shivaarti Bajaj</t>
  </si>
  <si>
    <t>Founder &amp; Managing Partner, RSD Bajaj Global</t>
  </si>
  <si>
    <t>https://www.linkedin.com/in/shivaartibajaj/</t>
  </si>
  <si>
    <t>Vivek Gokhale</t>
  </si>
  <si>
    <t>CEO, Money Forward India</t>
  </si>
  <si>
    <t>https://www.linkedin.com/in/vivek-gokhale-29b202a/?originalSubdomain=in</t>
  </si>
  <si>
    <t>Jaydeep Deshpande</t>
  </si>
  <si>
    <t>Group Field Marketing Manager - Direct &amp; Partner, Google Cloud</t>
  </si>
  <si>
    <t>https://www.linkedin.com/in/jaydeep-deshpande-jd-4a120a3/?originalSubdomain=in</t>
  </si>
  <si>
    <t>Angad V Raghavan</t>
  </si>
  <si>
    <t>COO AutoVRse</t>
  </si>
  <si>
    <t>https://www.linkedin.com/in/angad-v-raghavan/?originalSubdomain=in</t>
  </si>
  <si>
    <t>Ariane Bucquet Pousette</t>
  </si>
  <si>
    <t>Head of Startup Ecosystem - Entrepreneurship, Stockholm Business Region</t>
  </si>
  <si>
    <t>https://www.linkedin.com/in/ariane-bucquet-pousette-28136215</t>
  </si>
  <si>
    <t>Tsuyoshi Morimoto</t>
  </si>
  <si>
    <t>Vice President, Denso International India</t>
  </si>
  <si>
    <t>http://linkedin.com/in/morimototsuyoshi</t>
  </si>
  <si>
    <t>Sanjay Tripathy</t>
  </si>
  <si>
    <t>Co-founder &amp; CEO, BRISKPE</t>
  </si>
  <si>
    <t>https://www.linkedin.com/in/tripathysanjay</t>
  </si>
  <si>
    <t>Muralidhar Somisetty</t>
  </si>
  <si>
    <t>Founder, YogiFi</t>
  </si>
  <si>
    <t>https://www.linkedin.com/in/muralis/</t>
  </si>
  <si>
    <t>Saurabhi Tiwari</t>
  </si>
  <si>
    <t>CTO, Policybazaar.</t>
  </si>
  <si>
    <t>https://www.linkedin.com/in/tiwarisaurabh/</t>
  </si>
  <si>
    <t>Pratik Desai</t>
  </si>
  <si>
    <t>Founder &amp; CEO, Kissan AI</t>
  </si>
  <si>
    <t>https://linkedin.com/in/pratikkumardesai</t>
  </si>
  <si>
    <t>Jigar Halani</t>
  </si>
  <si>
    <t>Director - Solution Architect &amp; Engg, NVIDIA</t>
  </si>
  <si>
    <t>https://www.linkedin.com/in/jigarhalani/?originalSubdomain=in</t>
  </si>
  <si>
    <t>Rahul Regulapati</t>
  </si>
  <si>
    <t>Founder, Galleri5 (acquired by Collective Artists)</t>
  </si>
  <si>
    <t>https://www.linkedin.com/in/rahulregulapati/</t>
  </si>
  <si>
    <t>Goutam	Kurumella</t>
  </si>
  <si>
    <t>Head of Startup Solutions Architecture, AWS</t>
  </si>
  <si>
    <t>https://www.linkedin.com/in/goutamkurumella/?utm_source=share&amp;utm_campaign=share_via&amp;utm_content=profile&amp;utm_medium=ios_app</t>
  </si>
  <si>
    <t>Anuj Kacker</t>
  </si>
  <si>
    <t>Co-founder, Freo</t>
  </si>
  <si>
    <t>https://www.linkedin.com/in/anujkacker1/</t>
  </si>
  <si>
    <t>Sagar Kumar</t>
  </si>
  <si>
    <t>Vice president - Engineering, PayU</t>
  </si>
  <si>
    <t>https://www.linkedin.com/in/vsagarkumar/</t>
  </si>
  <si>
    <t>Soumyajit Ghosh</t>
  </si>
  <si>
    <t>COO, BalanceheroIndia</t>
  </si>
  <si>
    <t>https://www.linkedin.com/in/soumyajitghosh/?originalSubdomain=in</t>
  </si>
  <si>
    <t>Abilash Narahari</t>
  </si>
  <si>
    <t>VP - Head of Technology &amp; Digital Natives, QualityKiosk Technologies</t>
  </si>
  <si>
    <t>https://www.linkedin.com/in/abilashhari/</t>
  </si>
  <si>
    <t>Aditya Soni</t>
  </si>
  <si>
    <t>Founder &amp; CEO, CheQ</t>
  </si>
  <si>
    <t>https://www.linkedin.com/in/adityasoni/?originalSubdomain=in</t>
  </si>
  <si>
    <t>Hemant Mangla</t>
  </si>
  <si>
    <t>Head of Engineering, Namma Yatri</t>
  </si>
  <si>
    <t>https://linkedin.com/in/hkmangla?originalSubdomain=in</t>
  </si>
  <si>
    <t>Anurag Jain</t>
  </si>
  <si>
    <t>Founder &amp; Executive Director, Kredx</t>
  </si>
  <si>
    <t>https://www.linkedin.com/in/anuragkredx/?originalSubdomain=in</t>
  </si>
  <si>
    <t>Vaitheeswaran S</t>
  </si>
  <si>
    <t>Head - SRE, Cloud Infra, AI-Labs, Cred</t>
  </si>
  <si>
    <t>https://www.linkedin.com/in/svaithee12/?originalSubdomain=in</t>
  </si>
  <si>
    <t>Ashish Jain</t>
  </si>
  <si>
    <t>VP Engineering, Lead School</t>
  </si>
  <si>
    <t>https://www.linkedin.com/in/saturnine/?originalSubdomain=in</t>
  </si>
  <si>
    <t>Vaibhav Magon</t>
  </si>
  <si>
    <t>VP Engineering, Acko</t>
  </si>
  <si>
    <t>https://www.linkedin.com/in/vaibhavmagon/?originalSubdomain=in</t>
  </si>
  <si>
    <t>Soumyadeep Mukherjee</t>
  </si>
  <si>
    <t>Co-founder &amp; CTO, Dashtoon</t>
  </si>
  <si>
    <t>https://www.linkedin.com/in/soumyadeepmukherjee/?originalSubdomain=in</t>
  </si>
  <si>
    <t>Sarat Buddhiraju</t>
  </si>
  <si>
    <t>Chief Architect, Big Basket</t>
  </si>
  <si>
    <t>https://www.linkedin.com/in/saratbuddhiraju/?originalSubdomain=in</t>
  </si>
  <si>
    <t>Aniruddh Jain</t>
  </si>
  <si>
    <t>CPTO, Cars24</t>
  </si>
  <si>
    <t>https://www.linkedin.com/in/aniruddh-jain-628ba79/?originalSubdomain=in</t>
  </si>
  <si>
    <t>Gaurav Jain</t>
  </si>
  <si>
    <t>VP, Technology, Incred Finance</t>
  </si>
  <si>
    <t>https://www.linkedin.com/in/gaurav-jain-3630b5144/?</t>
  </si>
  <si>
    <t>Aneesh Dhawan</t>
  </si>
  <si>
    <t>Director Sales India and SAARC, Commvault</t>
  </si>
  <si>
    <t>https://www.linkedin.com/in/aneeshdhawan/</t>
  </si>
  <si>
    <t>Ashish Dhagat</t>
  </si>
  <si>
    <t>CTO, Hector Beverages</t>
  </si>
  <si>
    <t>https://www.linkedin.com/in/ashish-dhagat-6698651b/?originalSubdomain=in</t>
  </si>
  <si>
    <t>Anshul Sharma</t>
  </si>
  <si>
    <t>Director of Engineering, Scaler</t>
  </si>
  <si>
    <t>https://www.linkedin.com/in/raunify/</t>
  </si>
  <si>
    <t>Jacxine Fernandez</t>
  </si>
  <si>
    <t>VP Information Security and ICT Governance, Bangalore Airport</t>
  </si>
  <si>
    <t>https://in.linkedin.com/in/jacxinefernandez</t>
  </si>
  <si>
    <t>Ankur Sharma</t>
  </si>
  <si>
    <t>Co-founder, InstaMojo</t>
  </si>
  <si>
    <t>https://www.linkedin.com/in/ankurs24/</t>
  </si>
  <si>
    <t>Vilas JV</t>
  </si>
  <si>
    <t>CISO, Innoviti</t>
  </si>
  <si>
    <t>https://www.linkedin.com/in/vilas-jacob-079k/</t>
  </si>
  <si>
    <t>Animesh	Kumar</t>
  </si>
  <si>
    <t>Director of Engineering, Jupiter</t>
  </si>
  <si>
    <t>https://www.linkedin.com/in/animesh-kumar-49714321/</t>
  </si>
  <si>
    <t>Chinmaya Saxena</t>
  </si>
  <si>
    <t>Partner, BEENEXT</t>
  </si>
  <si>
    <t>https://www.linkedin.com/in/chinmayasaxena/?originalSubdomain=in</t>
  </si>
  <si>
    <t>Jayprasad Hegde</t>
  </si>
  <si>
    <t>Senior Vice President - Engg, Research, Platform, TookiTaaki</t>
  </si>
  <si>
    <t>https://www.linkedin.com/in/jayprasadhegde/?originalSubdomain=in</t>
  </si>
  <si>
    <t>Akshat Mandloi</t>
  </si>
  <si>
    <t>Co-founder, Smallest AI</t>
  </si>
  <si>
    <t>https://www.linkedin.com/in/akshat-2503/</t>
  </si>
  <si>
    <t>Hariharan Ravishankar</t>
  </si>
  <si>
    <t>Chief AI Scientist, Intangles</t>
  </si>
  <si>
    <t>https://www.linkedin.com/in/hariharan-ravishankar-01471321/?originalSubdomain=in</t>
  </si>
  <si>
    <t>Vipinkumar Tiwari</t>
  </si>
  <si>
    <t>Director-Engineering and Chief of Staff - CTO ,   Swiggy</t>
  </si>
  <si>
    <t>https://www.linkedin.com/in/vipinkumar-tiwari/?originalSubdomain=in</t>
  </si>
  <si>
    <t>Ajit Pendse</t>
  </si>
  <si>
    <t>Senior Director - Technology, Elastic Run</t>
  </si>
  <si>
    <t>https://www.linkedin.com/in/ajitpendse/?originalSubdomain=in</t>
  </si>
  <si>
    <t>Kiran  Reddy Singam</t>
  </si>
  <si>
    <t>CTO, Big Haat</t>
  </si>
  <si>
    <t>Abhishek Gupta</t>
  </si>
  <si>
    <t>VP/ Head of Product &amp; Tech, Homelane</t>
  </si>
  <si>
    <t>Ram Sellaratnam</t>
  </si>
  <si>
    <t>Group CEO &amp; MD, Ibus Network</t>
  </si>
  <si>
    <t>Pankaj  Sharma</t>
  </si>
  <si>
    <t>Director &amp; Co-Founder, Log9 Materials</t>
  </si>
  <si>
    <t>Rishabh Jain</t>
  </si>
  <si>
    <t>Head of Engineering, Vahan Ai</t>
  </si>
  <si>
    <t>Sandeep Pandey</t>
  </si>
  <si>
    <t>Vice President and Head of Engineering, AppsForBharat</t>
  </si>
  <si>
    <t>Manish Kumar</t>
  </si>
  <si>
    <t>Founder and CEO, KredX</t>
  </si>
  <si>
    <t>Megha Agarwal</t>
  </si>
  <si>
    <t>CMO, TableSpace</t>
  </si>
  <si>
    <t>Yashas  Khoday</t>
  </si>
  <si>
    <t>Co-founder &amp; CTO , FYERS</t>
  </si>
  <si>
    <t>Gaurav  Kapatia</t>
  </si>
  <si>
    <t>Head of Engineering, Newton School</t>
  </si>
  <si>
    <t>Saravanan Palanivel</t>
  </si>
  <si>
    <t>Head- Cloud Engineering India, Infrastructure Services , Oracle</t>
  </si>
  <si>
    <t>Ayush Kumar</t>
  </si>
  <si>
    <t>Head of Engineering, Business Banking, Razor Pay</t>
  </si>
  <si>
    <t>Abhishek  Ranjan</t>
  </si>
  <si>
    <t>CTO, Apna Co</t>
  </si>
  <si>
    <t>Narayan  Babu</t>
  </si>
  <si>
    <t>Vp Engineering, Zeta</t>
  </si>
  <si>
    <t>Director - Sales, India and SAARC, Commvault</t>
  </si>
  <si>
    <t>Praveen Parihar</t>
  </si>
  <si>
    <t>CISO, Razorpay</t>
  </si>
  <si>
    <t>Suvesh Malhotra</t>
  </si>
  <si>
    <t>CTO, ClearTax</t>
  </si>
  <si>
    <t>VP - Information Security &amp; ICT Governance, Bangalore Airport</t>
  </si>
  <si>
    <t>Co- Founder, InstaMojo</t>
  </si>
  <si>
    <t>Pragati Jaiswal</t>
  </si>
  <si>
    <t>AVP - IT, Scalene Works People 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</si>
</sst>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vishalgupta78/" TargetMode="External"/><Relationship Id="rId190" Type="http://schemas.openxmlformats.org/officeDocument/2006/relationships/hyperlink" Target="https://techsparks.yourstory.com/2025" TargetMode="External"/><Relationship Id="rId42" Type="http://schemas.openxmlformats.org/officeDocument/2006/relationships/hyperlink" Target="https://www.linkedin.com/in/aniruddha/" TargetMode="External"/><Relationship Id="rId41" Type="http://schemas.openxmlformats.org/officeDocument/2006/relationships/hyperlink" Target="https://www.linkedin.com/in/vijayant-rai-226203a/" TargetMode="External"/><Relationship Id="rId44" Type="http://schemas.openxmlformats.org/officeDocument/2006/relationships/hyperlink" Target="https://www.linkedin.com/in/anand-jain-07a8012/?originalSubdomain=in" TargetMode="External"/><Relationship Id="rId194" Type="http://schemas.openxmlformats.org/officeDocument/2006/relationships/hyperlink" Target="https://techsparks.yourstory.com/2025" TargetMode="External"/><Relationship Id="rId43" Type="http://schemas.openxmlformats.org/officeDocument/2006/relationships/hyperlink" Target="https://www.linkedin.com/in/akaurbajwa/" TargetMode="External"/><Relationship Id="rId193" Type="http://schemas.openxmlformats.org/officeDocument/2006/relationships/hyperlink" Target="https://techsparks.yourstory.com/2025" TargetMode="External"/><Relationship Id="rId46" Type="http://schemas.openxmlformats.org/officeDocument/2006/relationships/hyperlink" Target="https://www.linkedin.com/in/rvasanthi/" TargetMode="External"/><Relationship Id="rId192" Type="http://schemas.openxmlformats.org/officeDocument/2006/relationships/hyperlink" Target="https://techsparks.yourstory.com/2025" TargetMode="External"/><Relationship Id="rId45" Type="http://schemas.openxmlformats.org/officeDocument/2006/relationships/hyperlink" Target="https://www.linkedin.com/in/vivek-raghavan-16005424/?originalSubdomain=in" TargetMode="External"/><Relationship Id="rId191" Type="http://schemas.openxmlformats.org/officeDocument/2006/relationships/hyperlink" Target="https://techsparks.yourstory.com/2025" TargetMode="External"/><Relationship Id="rId48" Type="http://schemas.openxmlformats.org/officeDocument/2006/relationships/hyperlink" Target="https://www.linkedin.com/in/sandeepalur/?originalSubdomain=in" TargetMode="External"/><Relationship Id="rId187" Type="http://schemas.openxmlformats.org/officeDocument/2006/relationships/hyperlink" Target="https://techsparks.yourstory.com/2025" TargetMode="External"/><Relationship Id="rId47" Type="http://schemas.openxmlformats.org/officeDocument/2006/relationships/hyperlink" Target="https://www.linkedin.com/in/shamiksharma" TargetMode="External"/><Relationship Id="rId186" Type="http://schemas.openxmlformats.org/officeDocument/2006/relationships/hyperlink" Target="https://techsparks.yourstory.com/2025" TargetMode="External"/><Relationship Id="rId185" Type="http://schemas.openxmlformats.org/officeDocument/2006/relationships/hyperlink" Target="https://techsparks.yourstory.com/2025" TargetMode="External"/><Relationship Id="rId49" Type="http://schemas.openxmlformats.org/officeDocument/2006/relationships/hyperlink" Target="https://www.linkedin.com/in/kaushikmudda" TargetMode="External"/><Relationship Id="rId184" Type="http://schemas.openxmlformats.org/officeDocument/2006/relationships/hyperlink" Target="https://techsparks.yourstory.com/2025" TargetMode="External"/><Relationship Id="rId189" Type="http://schemas.openxmlformats.org/officeDocument/2006/relationships/hyperlink" Target="https://techsparks.yourstory.com/2025" TargetMode="External"/><Relationship Id="rId188" Type="http://schemas.openxmlformats.org/officeDocument/2006/relationships/hyperlink" Target="https://techsparks.yourstory.com/2025" TargetMode="External"/><Relationship Id="rId31" Type="http://schemas.openxmlformats.org/officeDocument/2006/relationships/hyperlink" Target="https://www.linkedin.com/in/balajith/" TargetMode="External"/><Relationship Id="rId30" Type="http://schemas.openxmlformats.org/officeDocument/2006/relationships/hyperlink" Target="https://www.linkedin.com/in/noi-cecilia-oldne-448b6b8/?originalSubdomain=in" TargetMode="External"/><Relationship Id="rId33" Type="http://schemas.openxmlformats.org/officeDocument/2006/relationships/hyperlink" Target="https://www.linkedin.com/in/raoarjun/" TargetMode="External"/><Relationship Id="rId183" Type="http://schemas.openxmlformats.org/officeDocument/2006/relationships/hyperlink" Target="https://techsparks.yourstory.com/2025" TargetMode="External"/><Relationship Id="rId32" Type="http://schemas.openxmlformats.org/officeDocument/2006/relationships/hyperlink" Target="https://www.linkedin.com/in/jithendra-vepa" TargetMode="External"/><Relationship Id="rId182" Type="http://schemas.openxmlformats.org/officeDocument/2006/relationships/hyperlink" Target="https://techsparks.yourstory.com/2025" TargetMode="External"/><Relationship Id="rId35" Type="http://schemas.openxmlformats.org/officeDocument/2006/relationships/hyperlink" Target="https://www.linkedin.com/in/sandeep-singhal-604499/" TargetMode="External"/><Relationship Id="rId181" Type="http://schemas.openxmlformats.org/officeDocument/2006/relationships/hyperlink" Target="https://techsparks.yourstory.com/2025" TargetMode="External"/><Relationship Id="rId34" Type="http://schemas.openxmlformats.org/officeDocument/2006/relationships/hyperlink" Target="https://www.linkedin.com/in/paranth-thiruvengadam" TargetMode="External"/><Relationship Id="rId180" Type="http://schemas.openxmlformats.org/officeDocument/2006/relationships/hyperlink" Target="https://techsparks.yourstory.com/2025" TargetMode="External"/><Relationship Id="rId37" Type="http://schemas.openxmlformats.org/officeDocument/2006/relationships/hyperlink" Target="https://in.linkedin.com/in/awaisahmedna" TargetMode="External"/><Relationship Id="rId176" Type="http://schemas.openxmlformats.org/officeDocument/2006/relationships/hyperlink" Target="https://www.linkedin.com/in/vipinkumar-tiwari/?originalSubdomain=in" TargetMode="External"/><Relationship Id="rId36" Type="http://schemas.openxmlformats.org/officeDocument/2006/relationships/hyperlink" Target="https://techsparks.yourstory.com/2025" TargetMode="External"/><Relationship Id="rId175" Type="http://schemas.openxmlformats.org/officeDocument/2006/relationships/hyperlink" Target="https://www.linkedin.com/in/hariharan-ravishankar-01471321/?originalSubdomain=in" TargetMode="External"/><Relationship Id="rId39" Type="http://schemas.openxmlformats.org/officeDocument/2006/relationships/hyperlink" Target="https://www.linkedin.com/in/mathangisri/" TargetMode="External"/><Relationship Id="rId174" Type="http://schemas.openxmlformats.org/officeDocument/2006/relationships/hyperlink" Target="https://www.linkedin.com/in/akshat-2503/" TargetMode="External"/><Relationship Id="rId38" Type="http://schemas.openxmlformats.org/officeDocument/2006/relationships/hyperlink" Target="https://linkedin.com/in/aevangelidis?originalSubdomain=uk" TargetMode="External"/><Relationship Id="rId173" Type="http://schemas.openxmlformats.org/officeDocument/2006/relationships/hyperlink" Target="https://www.linkedin.com/in/jayprasadhegde/?originalSubdomain=in" TargetMode="External"/><Relationship Id="rId179" Type="http://schemas.openxmlformats.org/officeDocument/2006/relationships/hyperlink" Target="https://techsparks.yourstory.com/2025" TargetMode="External"/><Relationship Id="rId178" Type="http://schemas.openxmlformats.org/officeDocument/2006/relationships/hyperlink" Target="https://techsparks.yourstory.com/2025" TargetMode="External"/><Relationship Id="rId177" Type="http://schemas.openxmlformats.org/officeDocument/2006/relationships/hyperlink" Target="https://www.linkedin.com/in/ajitpendse/?originalSubdomain=in" TargetMode="External"/><Relationship Id="rId20" Type="http://schemas.openxmlformats.org/officeDocument/2006/relationships/hyperlink" Target="https://www.linkedin.com/in/arzanprofile001/?originalSubdomain=in" TargetMode="External"/><Relationship Id="rId22" Type="http://schemas.openxmlformats.org/officeDocument/2006/relationships/hyperlink" Target="https://www.linkedin.com/in/priya-narasimhan-1a40862/" TargetMode="External"/><Relationship Id="rId21" Type="http://schemas.openxmlformats.org/officeDocument/2006/relationships/hyperlink" Target="https://www.linkedin.com/in/shivku" TargetMode="External"/><Relationship Id="rId24" Type="http://schemas.openxmlformats.org/officeDocument/2006/relationships/hyperlink" Target="https://www.linkedin.com/in/hemant-gala-95a3327/" TargetMode="External"/><Relationship Id="rId23" Type="http://schemas.openxmlformats.org/officeDocument/2006/relationships/hyperlink" Target="https://www.linkedin.com/in/visheshraj/" TargetMode="External"/><Relationship Id="rId26" Type="http://schemas.openxmlformats.org/officeDocument/2006/relationships/hyperlink" Target="https://in.linkedin.com/in/nupur-goenka-a13b18101" TargetMode="External"/><Relationship Id="rId25" Type="http://schemas.openxmlformats.org/officeDocument/2006/relationships/hyperlink" Target="https://www.linkedin.com/in/snjymhn" TargetMode="External"/><Relationship Id="rId28" Type="http://schemas.openxmlformats.org/officeDocument/2006/relationships/hyperlink" Target="https://www.linkedin.com/in/bruce-keith-b261bb12/" TargetMode="External"/><Relationship Id="rId27" Type="http://schemas.openxmlformats.org/officeDocument/2006/relationships/hyperlink" Target="https://www.linkedin.com/in/kaushikdaskd/?originalSubdomain=in" TargetMode="External"/><Relationship Id="rId29" Type="http://schemas.openxmlformats.org/officeDocument/2006/relationships/hyperlink" Target="https://www.linkedin.com/in/madhusudhanrao" TargetMode="External"/><Relationship Id="rId11" Type="http://schemas.openxmlformats.org/officeDocument/2006/relationships/hyperlink" Target="https://www.linkedin.com/in/meghna-agarwal-cofounder-indiqube/" TargetMode="External"/><Relationship Id="rId10" Type="http://schemas.openxmlformats.org/officeDocument/2006/relationships/hyperlink" Target="https://www.together.fund/team/manav-garg" TargetMode="External"/><Relationship Id="rId13" Type="http://schemas.openxmlformats.org/officeDocument/2006/relationships/hyperlink" Target="https://www.linkedin.com/in/rishi-das-cofounder-indiqube/" TargetMode="External"/><Relationship Id="rId12" Type="http://schemas.openxmlformats.org/officeDocument/2006/relationships/hyperlink" Target="https://techsparks.yourstory.com/2025" TargetMode="External"/><Relationship Id="rId15" Type="http://schemas.openxmlformats.org/officeDocument/2006/relationships/hyperlink" Target="https://www.linkedin.com/in/aravind-sanka-8a876045/" TargetMode="External"/><Relationship Id="rId198" Type="http://schemas.openxmlformats.org/officeDocument/2006/relationships/hyperlink" Target="https://techsparks.yourstory.com/2025" TargetMode="External"/><Relationship Id="rId14" Type="http://schemas.openxmlformats.org/officeDocument/2006/relationships/hyperlink" Target="https://www.linkedin.com/in/puneetchandok/" TargetMode="External"/><Relationship Id="rId197" Type="http://schemas.openxmlformats.org/officeDocument/2006/relationships/hyperlink" Target="https://techsparks.yourstory.com/2025" TargetMode="External"/><Relationship Id="rId17" Type="http://schemas.openxmlformats.org/officeDocument/2006/relationships/hyperlink" Target="https://www.linkedin.com/in/anishthambi/?originalSubdomain=in" TargetMode="External"/><Relationship Id="rId196" Type="http://schemas.openxmlformats.org/officeDocument/2006/relationships/hyperlink" Target="https://techsparks.yourstory.com/2025" TargetMode="External"/><Relationship Id="rId16" Type="http://schemas.openxmlformats.org/officeDocument/2006/relationships/hyperlink" Target="https://www.linkedin.com/in/ananth-narayanan1" TargetMode="External"/><Relationship Id="rId195" Type="http://schemas.openxmlformats.org/officeDocument/2006/relationships/hyperlink" Target="https://techsparks.yourstory.com/2025" TargetMode="External"/><Relationship Id="rId19" Type="http://schemas.openxmlformats.org/officeDocument/2006/relationships/hyperlink" Target="https://www.linkedin.com/in/kavita-viswanath-7a0b581/" TargetMode="External"/><Relationship Id="rId18" Type="http://schemas.openxmlformats.org/officeDocument/2006/relationships/hyperlink" Target="https://ae.linkedin.com/in/manukumarjain" TargetMode="External"/><Relationship Id="rId199" Type="http://schemas.openxmlformats.org/officeDocument/2006/relationships/drawing" Target="../drawings/drawing1.xml"/><Relationship Id="rId84" Type="http://schemas.openxmlformats.org/officeDocument/2006/relationships/hyperlink" Target="https://www.ey.com/en_in/people/thiru-s-vengadam" TargetMode="External"/><Relationship Id="rId83" Type="http://schemas.openxmlformats.org/officeDocument/2006/relationships/hyperlink" Target="https://www.linkedin.com/in/laina-emmanuel-8a873b33?utm_source=share&amp;utm_campaign=share_via&amp;utm_content=profile&amp;utm_medium=android_app" TargetMode="External"/><Relationship Id="rId86" Type="http://schemas.openxmlformats.org/officeDocument/2006/relationships/hyperlink" Target="https://www.linkedin.com/in/suraj-aiar/" TargetMode="External"/><Relationship Id="rId85" Type="http://schemas.openxmlformats.org/officeDocument/2006/relationships/hyperlink" Target="https://www.linkedin.com/in/kushalmanupati/" TargetMode="External"/><Relationship Id="rId88" Type="http://schemas.openxmlformats.org/officeDocument/2006/relationships/hyperlink" Target="https://www.cse.iitb.ac.in/~ganesh/" TargetMode="External"/><Relationship Id="rId150" Type="http://schemas.openxmlformats.org/officeDocument/2006/relationships/hyperlink" Target="https://www.linkedin.com/in/goutamkurumella/?utm_source=share&amp;utm_campaign=share_via&amp;utm_content=profile&amp;utm_medium=ios_app" TargetMode="External"/><Relationship Id="rId87" Type="http://schemas.openxmlformats.org/officeDocument/2006/relationships/hyperlink" Target="https://www.linkedin.com/in/narendrayadav/?originalSubdomain=in" TargetMode="External"/><Relationship Id="rId89" Type="http://schemas.openxmlformats.org/officeDocument/2006/relationships/hyperlink" Target="https://www.linkedin.com/in/devreveler/" TargetMode="External"/><Relationship Id="rId80" Type="http://schemas.openxmlformats.org/officeDocument/2006/relationships/hyperlink" Target="https://www.linkedin.com/in/rsubodha/?originalSubdomain=in" TargetMode="External"/><Relationship Id="rId82" Type="http://schemas.openxmlformats.org/officeDocument/2006/relationships/hyperlink" Target="https://in.linkedin.com/in/khandelwalkshitij" TargetMode="External"/><Relationship Id="rId81" Type="http://schemas.openxmlformats.org/officeDocument/2006/relationships/hyperlink" Target="https://www.linkedin.com/in/puspen-maity-6a1b5614/?originalSubdomain=in" TargetMode="External"/><Relationship Id="rId1" Type="http://schemas.openxmlformats.org/officeDocument/2006/relationships/hyperlink" Target="https://linkedin.com/in/ross-jonathan" TargetMode="External"/><Relationship Id="rId2" Type="http://schemas.openxmlformats.org/officeDocument/2006/relationships/hyperlink" Target="https://linkedin.com/in/nandita-sinha-3020275?originalSubdomain=in" TargetMode="External"/><Relationship Id="rId3" Type="http://schemas.openxmlformats.org/officeDocument/2006/relationships/hyperlink" Target="https://www.linkedin.com/in/ronniescrewvala/?originalSubdomain=in" TargetMode="External"/><Relationship Id="rId149" Type="http://schemas.openxmlformats.org/officeDocument/2006/relationships/hyperlink" Target="https://www.linkedin.com/in/rahulregulapati/" TargetMode="External"/><Relationship Id="rId4" Type="http://schemas.openxmlformats.org/officeDocument/2006/relationships/hyperlink" Target="https://www.linkedin.com/in/mubansal/" TargetMode="External"/><Relationship Id="rId148" Type="http://schemas.openxmlformats.org/officeDocument/2006/relationships/hyperlink" Target="https://www.linkedin.com/in/jigarhalani/?originalSubdomain=in" TargetMode="External"/><Relationship Id="rId9" Type="http://schemas.openxmlformats.org/officeDocument/2006/relationships/hyperlink" Target="https://www.linkedin.com/in/kaivalya-vohra?" TargetMode="External"/><Relationship Id="rId143" Type="http://schemas.openxmlformats.org/officeDocument/2006/relationships/hyperlink" Target="http://linkedin.com/in/morimototsuyoshi" TargetMode="External"/><Relationship Id="rId142" Type="http://schemas.openxmlformats.org/officeDocument/2006/relationships/hyperlink" Target="https://www.linkedin.com/in/ariane-bucquet-pousette-28136215" TargetMode="External"/><Relationship Id="rId141" Type="http://schemas.openxmlformats.org/officeDocument/2006/relationships/hyperlink" Target="https://www.linkedin.com/in/angad-v-raghavan/?originalSubdomain=in" TargetMode="External"/><Relationship Id="rId140" Type="http://schemas.openxmlformats.org/officeDocument/2006/relationships/hyperlink" Target="https://www.linkedin.com/in/jaydeep-deshpande-jd-4a120a3/?originalSubdomain=in" TargetMode="External"/><Relationship Id="rId5" Type="http://schemas.openxmlformats.org/officeDocument/2006/relationships/hyperlink" Target="https://linkedin.com/in/vishaldhupar?originalSubdomain=in" TargetMode="External"/><Relationship Id="rId147" Type="http://schemas.openxmlformats.org/officeDocument/2006/relationships/hyperlink" Target="https://linkedin.com/in/pratikkumardesai" TargetMode="External"/><Relationship Id="rId6" Type="http://schemas.openxmlformats.org/officeDocument/2006/relationships/hyperlink" Target="https://www.linkedin.com/in/vanikola" TargetMode="External"/><Relationship Id="rId146" Type="http://schemas.openxmlformats.org/officeDocument/2006/relationships/hyperlink" Target="https://www.linkedin.com/in/tiwarisaurabh/" TargetMode="External"/><Relationship Id="rId7" Type="http://schemas.openxmlformats.org/officeDocument/2006/relationships/hyperlink" Target="https://www.linkedin.com/in/mohitsaxena" TargetMode="External"/><Relationship Id="rId145" Type="http://schemas.openxmlformats.org/officeDocument/2006/relationships/hyperlink" Target="https://www.linkedin.com/in/muralis/" TargetMode="External"/><Relationship Id="rId8" Type="http://schemas.openxmlformats.org/officeDocument/2006/relationships/hyperlink" Target="https://www.linkedin.com/in/rajan-anandan-2481b814?originalSubdomain=in" TargetMode="External"/><Relationship Id="rId144" Type="http://schemas.openxmlformats.org/officeDocument/2006/relationships/hyperlink" Target="https://www.linkedin.com/in/tripathysanjay" TargetMode="External"/><Relationship Id="rId73" Type="http://schemas.openxmlformats.org/officeDocument/2006/relationships/hyperlink" Target="https://www.linkedin.com/in/rakeshravuri/" TargetMode="External"/><Relationship Id="rId72" Type="http://schemas.openxmlformats.org/officeDocument/2006/relationships/hyperlink" Target="https://www.linkedin.com/in/nikhilkmittal" TargetMode="External"/><Relationship Id="rId75" Type="http://schemas.openxmlformats.org/officeDocument/2006/relationships/hyperlink" Target="https://www.linkedin.com/in/adithyan/" TargetMode="External"/><Relationship Id="rId74" Type="http://schemas.openxmlformats.org/officeDocument/2006/relationships/hyperlink" Target="https://www.linkedin.com/in/nitinmittal18/" TargetMode="External"/><Relationship Id="rId77" Type="http://schemas.openxmlformats.org/officeDocument/2006/relationships/hyperlink" Target="https://linkedin.com/in/madhur-makkar" TargetMode="External"/><Relationship Id="rId76" Type="http://schemas.openxmlformats.org/officeDocument/2006/relationships/hyperlink" Target="https://www.linkedin.com/in/aviral-bhatnagar-ajuniorv" TargetMode="External"/><Relationship Id="rId79" Type="http://schemas.openxmlformats.org/officeDocument/2006/relationships/hyperlink" Target="https://www.linkedin.com/in/rohantshyam/?originalSubdomain=in" TargetMode="External"/><Relationship Id="rId78" Type="http://schemas.openxmlformats.org/officeDocument/2006/relationships/hyperlink" Target="https://www.linkedin.com/in/devikamittal/" TargetMode="External"/><Relationship Id="rId71" Type="http://schemas.openxmlformats.org/officeDocument/2006/relationships/hyperlink" Target="https://www.linkedin.com/in/vishwanath-ram-8826722/" TargetMode="External"/><Relationship Id="rId70" Type="http://schemas.openxmlformats.org/officeDocument/2006/relationships/hyperlink" Target="https://www.linkedin.com/in/tejas-goenka-3ab25244/?" TargetMode="External"/><Relationship Id="rId139" Type="http://schemas.openxmlformats.org/officeDocument/2006/relationships/hyperlink" Target="https://www.linkedin.com/in/vivek-gokhale-29b202a/?originalSubdomain=in" TargetMode="External"/><Relationship Id="rId138" Type="http://schemas.openxmlformats.org/officeDocument/2006/relationships/hyperlink" Target="https://www.linkedin.com/in/shivaartibajaj/" TargetMode="External"/><Relationship Id="rId137" Type="http://schemas.openxmlformats.org/officeDocument/2006/relationships/hyperlink" Target="https://www.linkedin.com/in/adrnschm/?originalSubdomain=in" TargetMode="External"/><Relationship Id="rId132" Type="http://schemas.openxmlformats.org/officeDocument/2006/relationships/hyperlink" Target="https://www.linkedin.com/in/gaurav-hinduja-25a24544/" TargetMode="External"/><Relationship Id="rId131" Type="http://schemas.openxmlformats.org/officeDocument/2006/relationships/hyperlink" Target="https://www.linkedin.com/in/prabhu-rangarajan/?originalSubdomain=in" TargetMode="External"/><Relationship Id="rId130" Type="http://schemas.openxmlformats.org/officeDocument/2006/relationships/hyperlink" Target="https://www.linkedin.com/in/tpathak1/?originalSubdomain=in" TargetMode="External"/><Relationship Id="rId136" Type="http://schemas.openxmlformats.org/officeDocument/2006/relationships/hyperlink" Target="https://www.linkedin.com/in/vishnusubramanian/?originalSubdomain=in" TargetMode="External"/><Relationship Id="rId135" Type="http://schemas.openxmlformats.org/officeDocument/2006/relationships/hyperlink" Target="https://linkedin.com/in/teena-bhasin-0598b6?originalSubdomain=in" TargetMode="External"/><Relationship Id="rId134" Type="http://schemas.openxmlformats.org/officeDocument/2006/relationships/hyperlink" Target="https://www.linkedin.com/in/prsridhar/?utm_source=share_via&amp;utm_content=profile&amp;utm_medium=member_ios" TargetMode="External"/><Relationship Id="rId133" Type="http://schemas.openxmlformats.org/officeDocument/2006/relationships/hyperlink" Target="https://www.linkedin.com/in/vishalvirani/?originalSubdomain=in" TargetMode="External"/><Relationship Id="rId62" Type="http://schemas.openxmlformats.org/officeDocument/2006/relationships/hyperlink" Target="https://in.linkedin.com/in/malini-dutt-99757791" TargetMode="External"/><Relationship Id="rId61" Type="http://schemas.openxmlformats.org/officeDocument/2006/relationships/hyperlink" Target="https://www.linkedin.com/in/priyadarshi-mohapatra-a051823/" TargetMode="External"/><Relationship Id="rId64" Type="http://schemas.openxmlformats.org/officeDocument/2006/relationships/hyperlink" Target="https://linkedin.com/in/srinath-ramakkrushnan-a658629?originalSubdomain=in" TargetMode="External"/><Relationship Id="rId63" Type="http://schemas.openxmlformats.org/officeDocument/2006/relationships/hyperlink" Target="https://www.linkedin.com/in/shubhradeep/" TargetMode="External"/><Relationship Id="rId66" Type="http://schemas.openxmlformats.org/officeDocument/2006/relationships/hyperlink" Target="https://www.linkedin.com/in/rohan-nayak/" TargetMode="External"/><Relationship Id="rId172" Type="http://schemas.openxmlformats.org/officeDocument/2006/relationships/hyperlink" Target="https://www.linkedin.com/in/chinmayasaxena/?originalSubdomain=in" TargetMode="External"/><Relationship Id="rId65" Type="http://schemas.openxmlformats.org/officeDocument/2006/relationships/hyperlink" Target="https://www.linkedin.com/in/nishit-narang-8a70781/?originalSubdomain=in" TargetMode="External"/><Relationship Id="rId171" Type="http://schemas.openxmlformats.org/officeDocument/2006/relationships/hyperlink" Target="https://www.linkedin.com/in/animesh-kumar-49714321/" TargetMode="External"/><Relationship Id="rId68" Type="http://schemas.openxmlformats.org/officeDocument/2006/relationships/hyperlink" Target="https://www.linkedin.com/in/salimnaim/?originalSubdomain=au" TargetMode="External"/><Relationship Id="rId170" Type="http://schemas.openxmlformats.org/officeDocument/2006/relationships/hyperlink" Target="https://www.linkedin.com/in/vilas-jacob-079k/" TargetMode="External"/><Relationship Id="rId67" Type="http://schemas.openxmlformats.org/officeDocument/2006/relationships/hyperlink" Target="https://www.linkedin.com/in/hemant-kamatgi-0a56032/?originalSubdomain=in" TargetMode="External"/><Relationship Id="rId60" Type="http://schemas.openxmlformats.org/officeDocument/2006/relationships/hyperlink" Target="https://www.linkedin.com/in/rozada/?originalSubdomain=se" TargetMode="External"/><Relationship Id="rId165" Type="http://schemas.openxmlformats.org/officeDocument/2006/relationships/hyperlink" Target="https://www.linkedin.com/in/aneeshdhawan/" TargetMode="External"/><Relationship Id="rId69" Type="http://schemas.openxmlformats.org/officeDocument/2006/relationships/hyperlink" Target="https://www.linkedin.com/in/naoto-nakadate-88b96837/?originalSubdomain=jp" TargetMode="External"/><Relationship Id="rId164" Type="http://schemas.openxmlformats.org/officeDocument/2006/relationships/hyperlink" Target="https://www.linkedin.com/in/gaurav-jain-3630b5144/?" TargetMode="External"/><Relationship Id="rId163" Type="http://schemas.openxmlformats.org/officeDocument/2006/relationships/hyperlink" Target="https://www.linkedin.com/in/aniruddh-jain-628ba79/?originalSubdomain=in" TargetMode="External"/><Relationship Id="rId162" Type="http://schemas.openxmlformats.org/officeDocument/2006/relationships/hyperlink" Target="https://www.linkedin.com/in/saratbuddhiraju/?originalSubdomain=in" TargetMode="External"/><Relationship Id="rId169" Type="http://schemas.openxmlformats.org/officeDocument/2006/relationships/hyperlink" Target="https://www.linkedin.com/in/ankurs24/" TargetMode="External"/><Relationship Id="rId168" Type="http://schemas.openxmlformats.org/officeDocument/2006/relationships/hyperlink" Target="https://in.linkedin.com/in/jacxinefernandez" TargetMode="External"/><Relationship Id="rId167" Type="http://schemas.openxmlformats.org/officeDocument/2006/relationships/hyperlink" Target="https://www.linkedin.com/in/raunify/" TargetMode="External"/><Relationship Id="rId166" Type="http://schemas.openxmlformats.org/officeDocument/2006/relationships/hyperlink" Target="https://www.linkedin.com/in/ashish-dhagat-6698651b/?originalSubdomain=in" TargetMode="External"/><Relationship Id="rId51" Type="http://schemas.openxmlformats.org/officeDocument/2006/relationships/hyperlink" Target="https://www.linkedin.com/in/nayani-nasa-b74b6318/" TargetMode="External"/><Relationship Id="rId50" Type="http://schemas.openxmlformats.org/officeDocument/2006/relationships/hyperlink" Target="https://www.linkedin.com/in/raghavchandra/" TargetMode="External"/><Relationship Id="rId53" Type="http://schemas.openxmlformats.org/officeDocument/2006/relationships/hyperlink" Target="https://www.linkedin.com/in/gautamagg/?originalSubdomain=in" TargetMode="External"/><Relationship Id="rId52" Type="http://schemas.openxmlformats.org/officeDocument/2006/relationships/hyperlink" Target="https://www.linkedin.com/in/amrit-acharya/?originalSubdomain=in" TargetMode="External"/><Relationship Id="rId55" Type="http://schemas.openxmlformats.org/officeDocument/2006/relationships/hyperlink" Target="https://www.linkedin.com/in/patankarpriya/" TargetMode="External"/><Relationship Id="rId161" Type="http://schemas.openxmlformats.org/officeDocument/2006/relationships/hyperlink" Target="https://www.linkedin.com/in/soumyadeepmukherjee/?originalSubdomain=in" TargetMode="External"/><Relationship Id="rId54" Type="http://schemas.openxmlformats.org/officeDocument/2006/relationships/hyperlink" Target="https://www.linkedin.com/in/sharmaramakant/" TargetMode="External"/><Relationship Id="rId160" Type="http://schemas.openxmlformats.org/officeDocument/2006/relationships/hyperlink" Target="https://www.linkedin.com/in/vaibhavmagon/?originalSubdomain=in" TargetMode="External"/><Relationship Id="rId57" Type="http://schemas.openxmlformats.org/officeDocument/2006/relationships/hyperlink" Target="https://www.linkedin.com/in/dhruvgupta1/" TargetMode="External"/><Relationship Id="rId56" Type="http://schemas.openxmlformats.org/officeDocument/2006/relationships/hyperlink" Target="https://www.linkedin.com/in/ish-babbar" TargetMode="External"/><Relationship Id="rId159" Type="http://schemas.openxmlformats.org/officeDocument/2006/relationships/hyperlink" Target="https://www.linkedin.com/in/saturnine/?originalSubdomain=in" TargetMode="External"/><Relationship Id="rId59" Type="http://schemas.openxmlformats.org/officeDocument/2006/relationships/hyperlink" Target="https://www.linkedin.com/in/scottalbin/?originalSubdomain=sg" TargetMode="External"/><Relationship Id="rId154" Type="http://schemas.openxmlformats.org/officeDocument/2006/relationships/hyperlink" Target="https://www.linkedin.com/in/abilashhari/" TargetMode="External"/><Relationship Id="rId58" Type="http://schemas.openxmlformats.org/officeDocument/2006/relationships/hyperlink" Target="https://en.wikipedia.org/wiki/Kunal_Kapoor_(actor,_born_1977)" TargetMode="External"/><Relationship Id="rId153" Type="http://schemas.openxmlformats.org/officeDocument/2006/relationships/hyperlink" Target="https://www.linkedin.com/in/soumyajitghosh/?originalSubdomain=in" TargetMode="External"/><Relationship Id="rId152" Type="http://schemas.openxmlformats.org/officeDocument/2006/relationships/hyperlink" Target="https://www.linkedin.com/in/vsagarkumar/" TargetMode="External"/><Relationship Id="rId151" Type="http://schemas.openxmlformats.org/officeDocument/2006/relationships/hyperlink" Target="https://www.linkedin.com/in/anujkacker1/" TargetMode="External"/><Relationship Id="rId158" Type="http://schemas.openxmlformats.org/officeDocument/2006/relationships/hyperlink" Target="https://www.linkedin.com/in/svaithee12/?originalSubdomain=in" TargetMode="External"/><Relationship Id="rId157" Type="http://schemas.openxmlformats.org/officeDocument/2006/relationships/hyperlink" Target="https://www.linkedin.com/in/anuragkredx/?originalSubdomain=in" TargetMode="External"/><Relationship Id="rId156" Type="http://schemas.openxmlformats.org/officeDocument/2006/relationships/hyperlink" Target="https://linkedin.com/in/hkmangla?originalSubdomain=in" TargetMode="External"/><Relationship Id="rId155" Type="http://schemas.openxmlformats.org/officeDocument/2006/relationships/hyperlink" Target="https://www.linkedin.com/in/adityasoni/?originalSubdomain=in" TargetMode="External"/><Relationship Id="rId107" Type="http://schemas.openxmlformats.org/officeDocument/2006/relationships/hyperlink" Target="https://www.linkedin.com/in/jollydeep?originalSubdomain=in" TargetMode="External"/><Relationship Id="rId106" Type="http://schemas.openxmlformats.org/officeDocument/2006/relationships/hyperlink" Target="https://www.linkedin.com/in/sandeepjethwani" TargetMode="External"/><Relationship Id="rId105" Type="http://schemas.openxmlformats.org/officeDocument/2006/relationships/hyperlink" Target="https://in.linkedin.com/in/satyajitkanekar" TargetMode="External"/><Relationship Id="rId104" Type="http://schemas.openxmlformats.org/officeDocument/2006/relationships/hyperlink" Target="https://www.linkedin.com/in/vishalguptabvp/" TargetMode="External"/><Relationship Id="rId109" Type="http://schemas.openxmlformats.org/officeDocument/2006/relationships/hyperlink" Target="https://www.linkedin.com/in/samanyougarg" TargetMode="External"/><Relationship Id="rId108" Type="http://schemas.openxmlformats.org/officeDocument/2006/relationships/hyperlink" Target="https://www.linkedin.com/in/hemantmohapatra/?originalSubdomain=in" TargetMode="External"/><Relationship Id="rId103" Type="http://schemas.openxmlformats.org/officeDocument/2006/relationships/hyperlink" Target="https://www.linkedin.com/in/umesh-bude/" TargetMode="External"/><Relationship Id="rId102" Type="http://schemas.openxmlformats.org/officeDocument/2006/relationships/hyperlink" Target="https://www.linkedin.com/in/swatimurarka/" TargetMode="External"/><Relationship Id="rId101" Type="http://schemas.openxmlformats.org/officeDocument/2006/relationships/hyperlink" Target="https://www.linkedin.com/in/sid0710?" TargetMode="External"/><Relationship Id="rId100" Type="http://schemas.openxmlformats.org/officeDocument/2006/relationships/hyperlink" Target="https://www.linkedin.com/in/ankushsabharwal?" TargetMode="External"/><Relationship Id="rId129" Type="http://schemas.openxmlformats.org/officeDocument/2006/relationships/hyperlink" Target="https://www.linkedin.com/in/pavansondur/" TargetMode="External"/><Relationship Id="rId128" Type="http://schemas.openxmlformats.org/officeDocument/2006/relationships/hyperlink" Target="https://www.linkedin.com/in/yashaskaranam/?originalSubdomain=in" TargetMode="External"/><Relationship Id="rId127" Type="http://schemas.openxmlformats.org/officeDocument/2006/relationships/hyperlink" Target="https://www.linkedin.com/in/idushyantmishra-f8/" TargetMode="External"/><Relationship Id="rId126" Type="http://schemas.openxmlformats.org/officeDocument/2006/relationships/hyperlink" Target="https://www.linkedin.com/in/jatin-saini/?originalSubdomain=in" TargetMode="External"/><Relationship Id="rId121" Type="http://schemas.openxmlformats.org/officeDocument/2006/relationships/hyperlink" Target="https://www.linkedin.com/in/takahisaohira/" TargetMode="External"/><Relationship Id="rId120" Type="http://schemas.openxmlformats.org/officeDocument/2006/relationships/hyperlink" Target="https://www.linkedin.com/in/venkr/?originalSubdomain=in" TargetMode="External"/><Relationship Id="rId125" Type="http://schemas.openxmlformats.org/officeDocument/2006/relationships/hyperlink" Target="https://www.linkedin.com/in/asankar24/" TargetMode="External"/><Relationship Id="rId124" Type="http://schemas.openxmlformats.org/officeDocument/2006/relationships/hyperlink" Target="https://www.linkedin.com/in/mayur-shah-491a871/" TargetMode="External"/><Relationship Id="rId123" Type="http://schemas.openxmlformats.org/officeDocument/2006/relationships/hyperlink" Target="https://www.linkedin.com/in/rajeshramachandranurl/?originalSubdomain=in" TargetMode="External"/><Relationship Id="rId122" Type="http://schemas.openxmlformats.org/officeDocument/2006/relationships/hyperlink" Target="https://www.linkedin.com/in/anirudh-sharma-digantara" TargetMode="External"/><Relationship Id="rId95" Type="http://schemas.openxmlformats.org/officeDocument/2006/relationships/hyperlink" Target="https://www.linkedin.com/in/kundra-nakul/?originalSubdomain=in" TargetMode="External"/><Relationship Id="rId94" Type="http://schemas.openxmlformats.org/officeDocument/2006/relationships/hyperlink" Target="https://www.linkedin.com/in/abhishek24" TargetMode="External"/><Relationship Id="rId97" Type="http://schemas.openxmlformats.org/officeDocument/2006/relationships/hyperlink" Target="https://www.linkedin.com/in/moiz-arsiwala-8a990032/" TargetMode="External"/><Relationship Id="rId96" Type="http://schemas.openxmlformats.org/officeDocument/2006/relationships/hyperlink" Target="https://www.linkedin.com/in/balagorthi/" TargetMode="External"/><Relationship Id="rId99" Type="http://schemas.openxmlformats.org/officeDocument/2006/relationships/hyperlink" Target="https://www.linkedin.com/in/bharatkrishnamurthy/?originalSubdomain=in" TargetMode="External"/><Relationship Id="rId98" Type="http://schemas.openxmlformats.org/officeDocument/2006/relationships/hyperlink" Target="https://www.linkedin.com/in/ankjain" TargetMode="External"/><Relationship Id="rId91" Type="http://schemas.openxmlformats.org/officeDocument/2006/relationships/hyperlink" Target="https://www.linkedin.com/in/pankajmitra/" TargetMode="External"/><Relationship Id="rId90" Type="http://schemas.openxmlformats.org/officeDocument/2006/relationships/hyperlink" Target="https://linkedin.com/in/ananth-shroff-71631a61?" TargetMode="External"/><Relationship Id="rId93" Type="http://schemas.openxmlformats.org/officeDocument/2006/relationships/hyperlink" Target="https://www.linkedin.com/in/kevsco/" TargetMode="External"/><Relationship Id="rId92" Type="http://schemas.openxmlformats.org/officeDocument/2006/relationships/hyperlink" Target="https://www.linkedin.com/in/yoko-fukata-94633a173/" TargetMode="External"/><Relationship Id="rId118" Type="http://schemas.openxmlformats.org/officeDocument/2006/relationships/hyperlink" Target="https://linkedin.com/in/tushar-chhabra-739b1929?originalSubdomain=uk" TargetMode="External"/><Relationship Id="rId117" Type="http://schemas.openxmlformats.org/officeDocument/2006/relationships/hyperlink" Target="https://www.linkedin.com/in/lisa-ericsson-aa27a9/" TargetMode="External"/><Relationship Id="rId116" Type="http://schemas.openxmlformats.org/officeDocument/2006/relationships/hyperlink" Target="https://www.linkedin.com/in/rajendran/" TargetMode="External"/><Relationship Id="rId115" Type="http://schemas.openxmlformats.org/officeDocument/2006/relationships/hyperlink" Target="https://www.linkedin.com/in/sreeshankar-nair-6b1414144/?originalSubdomain=in" TargetMode="External"/><Relationship Id="rId119" Type="http://schemas.openxmlformats.org/officeDocument/2006/relationships/hyperlink" Target="https://www.linkedin.com/in/djb4ai/?originalSubdomain=in" TargetMode="External"/><Relationship Id="rId110" Type="http://schemas.openxmlformats.org/officeDocument/2006/relationships/hyperlink" Target="https://www.linkedin.com/in/khadim/" TargetMode="External"/><Relationship Id="rId114" Type="http://schemas.openxmlformats.org/officeDocument/2006/relationships/hyperlink" Target="https://techsparks.yourstory.com/2025" TargetMode="External"/><Relationship Id="rId113" Type="http://schemas.openxmlformats.org/officeDocument/2006/relationships/hyperlink" Target="https://www.linkedin.com/in/aayushinito/?originalSubdomain=in" TargetMode="External"/><Relationship Id="rId112" Type="http://schemas.openxmlformats.org/officeDocument/2006/relationships/hyperlink" Target="https://www.linkedin.com/in/mohamed-imran-k-r-b115157/" TargetMode="External"/><Relationship Id="rId111" Type="http://schemas.openxmlformats.org/officeDocument/2006/relationships/hyperlink" Target="https://www.linkedin.com/in/dhruv-joshi-17787a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51.75"/>
    <col customWidth="1" min="4" max="4" width="38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G1" s="1" t="s">
        <v>5</v>
      </c>
      <c r="H1" s="1" t="s">
        <v>6</v>
      </c>
    </row>
    <row r="2">
      <c r="A2" s="1" t="s">
        <v>7</v>
      </c>
      <c r="B2" s="3" t="str">
        <f>IFERROR(__xludf.DUMMYFUNCTION("TRIM(REGEXEXTRACT(G2, ""^[^,]+""))"),"Founder &amp; CEO")</f>
        <v>Founder &amp; CEO</v>
      </c>
      <c r="C2" s="3" t="str">
        <f>IFERROR(__xludf.DUMMYFUNCTION("TRIM(REGEXREPLACE(G2, ""^[^,]+,"", """"))"),"Groq")</f>
        <v>Groq</v>
      </c>
      <c r="D2" s="4" t="str">
        <f>IFERROR(__xludf.DUMMYFUNCTION("IF(REGEXMATCH(H2, ""linkedin\.com""), H2, """")"),"https://linkedin.com/in/ross-jonathan")</f>
        <v>https://linkedin.com/in/ross-jonathan</v>
      </c>
      <c r="E2" s="1" t="s">
        <v>8</v>
      </c>
      <c r="G2" s="1" t="s">
        <v>9</v>
      </c>
      <c r="H2" s="5" t="s">
        <v>10</v>
      </c>
    </row>
    <row r="3">
      <c r="A3" s="1" t="s">
        <v>11</v>
      </c>
      <c r="B3" s="3" t="str">
        <f>IFERROR(__xludf.DUMMYFUNCTION("TRIM(REGEXEXTRACT(G3, ""^[^,]+""))"),"CEO")</f>
        <v>CEO</v>
      </c>
      <c r="C3" s="3" t="str">
        <f>IFERROR(__xludf.DUMMYFUNCTION("TRIM(REGEXREPLACE(G3, ""^[^,]+,"", """"))"),"Myntra")</f>
        <v>Myntra</v>
      </c>
      <c r="D3" s="4" t="str">
        <f>IFERROR(__xludf.DUMMYFUNCTION("IF(REGEXMATCH(H3, ""linkedin\.com""), H3, """")"),"https://linkedin.com/in/nandita-sinha-3020275?originalSubdomain=in")</f>
        <v>https://linkedin.com/in/nandita-sinha-3020275?originalSubdomain=in</v>
      </c>
      <c r="E3" s="1" t="s">
        <v>8</v>
      </c>
      <c r="G3" s="1" t="s">
        <v>12</v>
      </c>
      <c r="H3" s="5" t="s">
        <v>13</v>
      </c>
    </row>
    <row r="4">
      <c r="A4" s="1" t="s">
        <v>14</v>
      </c>
      <c r="B4" s="3" t="str">
        <f>IFERROR(__xludf.DUMMYFUNCTION("TRIM(REGEXEXTRACT(G4, ""^[^,]+""))"),"Co-founder")</f>
        <v>Co-founder</v>
      </c>
      <c r="C4" s="3" t="str">
        <f>IFERROR(__xludf.DUMMYFUNCTION("TRIM(REGEXREPLACE(G4, ""^[^,]+,"", """"))"),"upGrad &amp; Swades Foundation")</f>
        <v>upGrad &amp; Swades Foundation</v>
      </c>
      <c r="D4" s="4" t="str">
        <f>IFERROR(__xludf.DUMMYFUNCTION("IF(REGEXMATCH(H4, ""linkedin\.com""), H4, """")"),"https://www.linkedin.com/in/ronniescrewvala/?originalSubdomain=in")</f>
        <v>https://www.linkedin.com/in/ronniescrewvala/?originalSubdomain=in</v>
      </c>
      <c r="E4" s="1" t="s">
        <v>8</v>
      </c>
      <c r="G4" s="1" t="s">
        <v>15</v>
      </c>
      <c r="H4" s="5" t="s">
        <v>16</v>
      </c>
    </row>
    <row r="5">
      <c r="A5" s="1" t="s">
        <v>17</v>
      </c>
      <c r="B5" s="3" t="str">
        <f>IFERROR(__xludf.DUMMYFUNCTION("TRIM(REGEXEXTRACT(G5, ""^[^,]+""))"),"Founder &amp; CEO")</f>
        <v>Founder &amp; CEO</v>
      </c>
      <c r="C5" s="3" t="str">
        <f>IFERROR(__xludf.DUMMYFUNCTION("TRIM(REGEXREPLACE(G5, ""^[^,]+,"", """"))"),"Nurix AI")</f>
        <v>Nurix AI</v>
      </c>
      <c r="D5" s="4" t="str">
        <f>IFERROR(__xludf.DUMMYFUNCTION("IF(REGEXMATCH(H5, ""linkedin\.com""), H5, """")"),"https://www.linkedin.com/in/mubansal/")</f>
        <v>https://www.linkedin.com/in/mubansal/</v>
      </c>
      <c r="E5" s="1" t="s">
        <v>8</v>
      </c>
      <c r="G5" s="1" t="s">
        <v>18</v>
      </c>
      <c r="H5" s="5" t="s">
        <v>19</v>
      </c>
    </row>
    <row r="6">
      <c r="A6" s="1" t="s">
        <v>20</v>
      </c>
      <c r="B6" s="3" t="str">
        <f>IFERROR(__xludf.DUMMYFUNCTION("TRIM(REGEXEXTRACT(G6, ""^[^,]+""))"),"Managing Director")</f>
        <v>Managing Director</v>
      </c>
      <c r="C6" s="3" t="str">
        <f>IFERROR(__xludf.DUMMYFUNCTION("TRIM(REGEXREPLACE(G6, ""^[^,]+,"", """"))"),"South Asia, NVIDIA")</f>
        <v>South Asia, NVIDIA</v>
      </c>
      <c r="D6" s="4" t="str">
        <f>IFERROR(__xludf.DUMMYFUNCTION("IF(REGEXMATCH(H6, ""linkedin\.com""), H6, """")"),"https://linkedin.com/in/vishaldhupar?originalSubdomain=in")</f>
        <v>https://linkedin.com/in/vishaldhupar?originalSubdomain=in</v>
      </c>
      <c r="E6" s="1" t="s">
        <v>8</v>
      </c>
      <c r="G6" s="1" t="s">
        <v>21</v>
      </c>
      <c r="H6" s="5" t="s">
        <v>22</v>
      </c>
    </row>
    <row r="7">
      <c r="A7" s="1" t="s">
        <v>23</v>
      </c>
      <c r="B7" s="3" t="str">
        <f>IFERROR(__xludf.DUMMYFUNCTION("TRIM(REGEXEXTRACT(G7, ""^[^,]+""))"),"Managing Director")</f>
        <v>Managing Director</v>
      </c>
      <c r="C7" s="3" t="str">
        <f>IFERROR(__xludf.DUMMYFUNCTION("TRIM(REGEXREPLACE(G7, ""^[^,]+,"", """"))"),"Kalaari Capital")</f>
        <v>Kalaari Capital</v>
      </c>
      <c r="D7" s="4" t="str">
        <f>IFERROR(__xludf.DUMMYFUNCTION("IF(REGEXMATCH(H7, ""linkedin\.com""), H7, """")"),"https://www.linkedin.com/in/vanikola")</f>
        <v>https://www.linkedin.com/in/vanikola</v>
      </c>
      <c r="E7" s="1" t="s">
        <v>8</v>
      </c>
      <c r="G7" s="1" t="s">
        <v>24</v>
      </c>
      <c r="H7" s="5" t="s">
        <v>25</v>
      </c>
    </row>
    <row r="8">
      <c r="A8" s="1" t="s">
        <v>26</v>
      </c>
      <c r="B8" s="3" t="str">
        <f>IFERROR(__xludf.DUMMYFUNCTION("TRIM(REGEXEXTRACT(G8, ""^[^,]+""))"),"Co-founder &amp; CTO")</f>
        <v>Co-founder &amp; CTO</v>
      </c>
      <c r="C8" s="3" t="str">
        <f>IFERROR(__xludf.DUMMYFUNCTION("TRIM(REGEXREPLACE(G8, ""^[^,]+,"", """"))"),"Inmobi")</f>
        <v>Inmobi</v>
      </c>
      <c r="D8" s="4" t="str">
        <f>IFERROR(__xludf.DUMMYFUNCTION("IF(REGEXMATCH(H8, ""linkedin\.com""), H8, """")"),"https://www.linkedin.com/in/mohitsaxena")</f>
        <v>https://www.linkedin.com/in/mohitsaxena</v>
      </c>
      <c r="E8" s="1" t="s">
        <v>8</v>
      </c>
      <c r="G8" s="1" t="s">
        <v>27</v>
      </c>
      <c r="H8" s="5" t="s">
        <v>28</v>
      </c>
    </row>
    <row r="9">
      <c r="A9" s="1" t="s">
        <v>29</v>
      </c>
      <c r="B9" s="3" t="str">
        <f>IFERROR(__xludf.DUMMYFUNCTION("TRIM(REGEXEXTRACT(G9, ""^[^,]+""))"),"Managing Director")</f>
        <v>Managing Director</v>
      </c>
      <c r="C9" s="3" t="str">
        <f>IFERROR(__xludf.DUMMYFUNCTION("TRIM(REGEXREPLACE(G9, ""^[^,]+,"", """"))"),"Peak XV &amp; Surge")</f>
        <v>Peak XV &amp; Surge</v>
      </c>
      <c r="D9" s="4" t="str">
        <f>IFERROR(__xludf.DUMMYFUNCTION("IF(REGEXMATCH(H9, ""linkedin\.com""), H9, """")"),"https://www.linkedin.com/in/rajan-anandan-2481b814?originalSubdomain=in")</f>
        <v>https://www.linkedin.com/in/rajan-anandan-2481b814?originalSubdomain=in</v>
      </c>
      <c r="E9" s="1" t="s">
        <v>8</v>
      </c>
      <c r="G9" s="1" t="s">
        <v>30</v>
      </c>
      <c r="H9" s="5" t="s">
        <v>31</v>
      </c>
    </row>
    <row r="10">
      <c r="A10" s="1" t="s">
        <v>32</v>
      </c>
      <c r="B10" s="3" t="str">
        <f>IFERROR(__xludf.DUMMYFUNCTION("TRIM(REGEXEXTRACT(G10, ""^[^,]+""))"),"Co-founder")</f>
        <v>Co-founder</v>
      </c>
      <c r="C10" s="3" t="str">
        <f>IFERROR(__xludf.DUMMYFUNCTION("TRIM(REGEXREPLACE(G10, ""^[^,]+,"", """"))"),"Zepto")</f>
        <v>Zepto</v>
      </c>
      <c r="D10" s="4" t="str">
        <f>IFERROR(__xludf.DUMMYFUNCTION("IF(REGEXMATCH(H10, ""linkedin\.com""), H10, """")"),"https://www.linkedin.com/in/kaivalya-vohra?")</f>
        <v>https://www.linkedin.com/in/kaivalya-vohra?</v>
      </c>
      <c r="E10" s="1" t="s">
        <v>8</v>
      </c>
      <c r="G10" s="1" t="s">
        <v>33</v>
      </c>
      <c r="H10" s="5" t="s">
        <v>34</v>
      </c>
    </row>
    <row r="11">
      <c r="A11" s="1" t="s">
        <v>35</v>
      </c>
      <c r="B11" s="3" t="str">
        <f>IFERROR(__xludf.DUMMYFUNCTION("TRIM(REGEXEXTRACT(G11, ""^[^,]+""))"),"Co-founder &amp; Managing Partner")</f>
        <v>Co-founder &amp; Managing Partner</v>
      </c>
      <c r="C11" s="3" t="str">
        <f>IFERROR(__xludf.DUMMYFUNCTION("TRIM(REGEXREPLACE(G11, ""^[^,]+,"", """"))"),"Together Fund")</f>
        <v>Together Fund</v>
      </c>
      <c r="D11" s="6" t="str">
        <f>IFERROR(__xludf.DUMMYFUNCTION("IF(REGEXMATCH(H11, ""linkedin\.com""), H11, """")"),"")</f>
        <v/>
      </c>
      <c r="E11" s="1" t="s">
        <v>8</v>
      </c>
      <c r="G11" s="1" t="s">
        <v>36</v>
      </c>
      <c r="H11" s="5" t="s">
        <v>37</v>
      </c>
    </row>
    <row r="12">
      <c r="A12" s="1" t="s">
        <v>38</v>
      </c>
      <c r="B12" s="3" t="str">
        <f>IFERROR(__xludf.DUMMYFUNCTION("TRIM(REGEXEXTRACT(G12, ""^[^,]+""))"),"Co-founder")</f>
        <v>Co-founder</v>
      </c>
      <c r="C12" s="3" t="str">
        <f>IFERROR(__xludf.DUMMYFUNCTION("TRIM(REGEXREPLACE(G12, ""^[^,]+,"", """"))"),"IndiQube")</f>
        <v>IndiQube</v>
      </c>
      <c r="D12" s="4" t="str">
        <f>IFERROR(__xludf.DUMMYFUNCTION("IF(REGEXMATCH(H12, ""linkedin\.com""), H12, """")"),"https://www.linkedin.com/in/meghna-agarwal-cofounder-indiqube/")</f>
        <v>https://www.linkedin.com/in/meghna-agarwal-cofounder-indiqube/</v>
      </c>
      <c r="E12" s="1" t="s">
        <v>8</v>
      </c>
      <c r="G12" s="1" t="s">
        <v>39</v>
      </c>
      <c r="H12" s="5" t="s">
        <v>40</v>
      </c>
    </row>
    <row r="13">
      <c r="A13" s="1" t="s">
        <v>41</v>
      </c>
      <c r="B13" s="3" t="str">
        <f>IFERROR(__xludf.DUMMYFUNCTION("TRIM(REGEXEXTRACT(G13, ""^[^,]+""))"),"Vice Chairperson")</f>
        <v>Vice Chairperson</v>
      </c>
      <c r="C13" s="3" t="str">
        <f>IFERROR(__xludf.DUMMYFUNCTION("TRIM(REGEXREPLACE(G13, ""^[^,]+,"", """"))"),"Tally Solutions")</f>
        <v>Tally Solutions</v>
      </c>
      <c r="D13" s="6" t="str">
        <f>IFERROR(__xludf.DUMMYFUNCTION("IF(REGEXMATCH(H13, ""linkedin\.com""), H13, """")"),"")</f>
        <v/>
      </c>
      <c r="E13" s="1" t="s">
        <v>8</v>
      </c>
      <c r="G13" s="1" t="s">
        <v>42</v>
      </c>
      <c r="H13" s="5" t="s">
        <v>43</v>
      </c>
    </row>
    <row r="14">
      <c r="A14" s="1" t="s">
        <v>44</v>
      </c>
      <c r="B14" s="3" t="str">
        <f>IFERROR(__xludf.DUMMYFUNCTION("TRIM(REGEXEXTRACT(G14, ""^[^,]+""))"),"Co-founder")</f>
        <v>Co-founder</v>
      </c>
      <c r="C14" s="3" t="str">
        <f>IFERROR(__xludf.DUMMYFUNCTION("TRIM(REGEXREPLACE(G14, ""^[^,]+,"", """"))"),"IndiQube")</f>
        <v>IndiQube</v>
      </c>
      <c r="D14" s="4" t="str">
        <f>IFERROR(__xludf.DUMMYFUNCTION("IF(REGEXMATCH(H14, ""linkedin\.com""), H14, """")"),"https://www.linkedin.com/in/rishi-das-cofounder-indiqube/")</f>
        <v>https://www.linkedin.com/in/rishi-das-cofounder-indiqube/</v>
      </c>
      <c r="E14" s="1" t="s">
        <v>8</v>
      </c>
      <c r="G14" s="1" t="s">
        <v>39</v>
      </c>
      <c r="H14" s="5" t="s">
        <v>45</v>
      </c>
    </row>
    <row r="15">
      <c r="A15" s="1" t="s">
        <v>46</v>
      </c>
      <c r="B15" s="3" t="str">
        <f>IFERROR(__xludf.DUMMYFUNCTION("TRIM(REGEXEXTRACT(G15, ""^[^,]+""))"),"President")</f>
        <v>President</v>
      </c>
      <c r="C15" s="3" t="str">
        <f>IFERROR(__xludf.DUMMYFUNCTION("TRIM(REGEXREPLACE(G15, ""^[^,]+,"", """"))"),"Microsoft India &amp; South Asia")</f>
        <v>Microsoft India &amp; South Asia</v>
      </c>
      <c r="D15" s="4" t="str">
        <f>IFERROR(__xludf.DUMMYFUNCTION("IF(REGEXMATCH(H15, ""linkedin\.com""), H15, """")"),"https://www.linkedin.com/in/puneetchandok/")</f>
        <v>https://www.linkedin.com/in/puneetchandok/</v>
      </c>
      <c r="E15" s="1" t="s">
        <v>8</v>
      </c>
      <c r="G15" s="1" t="s">
        <v>47</v>
      </c>
      <c r="H15" s="5" t="s">
        <v>48</v>
      </c>
    </row>
    <row r="16">
      <c r="A16" s="1" t="s">
        <v>49</v>
      </c>
      <c r="B16" s="3" t="str">
        <f>IFERROR(__xludf.DUMMYFUNCTION("TRIM(REGEXEXTRACT(G16, ""^[^,]+""))"),"Co-founder")</f>
        <v>Co-founder</v>
      </c>
      <c r="C16" s="3" t="str">
        <f>IFERROR(__xludf.DUMMYFUNCTION("TRIM(REGEXREPLACE(G16, ""^[^,]+,"", """"))"),"Rapido")</f>
        <v>Rapido</v>
      </c>
      <c r="D16" s="4" t="str">
        <f>IFERROR(__xludf.DUMMYFUNCTION("IF(REGEXMATCH(H16, ""linkedin\.com""), H16, """")"),"https://www.linkedin.com/in/aravind-sanka-8a876045/")</f>
        <v>https://www.linkedin.com/in/aravind-sanka-8a876045/</v>
      </c>
      <c r="E16" s="1" t="s">
        <v>8</v>
      </c>
      <c r="G16" s="1" t="s">
        <v>50</v>
      </c>
      <c r="H16" s="5" t="s">
        <v>51</v>
      </c>
    </row>
    <row r="17">
      <c r="A17" s="1" t="s">
        <v>52</v>
      </c>
      <c r="B17" s="3" t="str">
        <f>IFERROR(__xludf.DUMMYFUNCTION("TRIM(REGEXEXTRACT(G17, ""^[^,]+""))"),"Founder &amp; CEO")</f>
        <v>Founder &amp; CEO</v>
      </c>
      <c r="C17" s="3" t="str">
        <f>IFERROR(__xludf.DUMMYFUNCTION("TRIM(REGEXREPLACE(G17, ""^[^,]+,"", """"))"),"BRND.ME (formerly Mensa Brands)")</f>
        <v>BRND.ME (formerly Mensa Brands)</v>
      </c>
      <c r="D17" s="4" t="str">
        <f>IFERROR(__xludf.DUMMYFUNCTION("IF(REGEXMATCH(H17, ""linkedin\.com""), H17, """")"),"https://www.linkedin.com/in/ananth-narayanan1")</f>
        <v>https://www.linkedin.com/in/ananth-narayanan1</v>
      </c>
      <c r="E17" s="1" t="s">
        <v>8</v>
      </c>
      <c r="G17" s="1" t="s">
        <v>53</v>
      </c>
      <c r="H17" s="5" t="s">
        <v>54</v>
      </c>
    </row>
    <row r="18">
      <c r="A18" s="1" t="s">
        <v>55</v>
      </c>
      <c r="B18" s="3" t="str">
        <f>IFERROR(__xludf.DUMMYFUNCTION("TRIM(REGEXEXTRACT(G18, ""^[^,]+""))"),"Head of Marketing India")</f>
        <v>Head of Marketing India</v>
      </c>
      <c r="C18" s="3" t="str">
        <f>IFERROR(__xludf.DUMMYFUNCTION("TRIM(REGEXREPLACE(G18, ""^[^,]+,"", """"))"),"Snowflake")</f>
        <v>Snowflake</v>
      </c>
      <c r="D18" s="4" t="str">
        <f>IFERROR(__xludf.DUMMYFUNCTION("IF(REGEXMATCH(H18, ""linkedin\.com""), H18, """")"),"https://www.linkedin.com/in/anishthambi/?originalSubdomain=in")</f>
        <v>https://www.linkedin.com/in/anishthambi/?originalSubdomain=in</v>
      </c>
      <c r="E18" s="1" t="s">
        <v>8</v>
      </c>
      <c r="G18" s="1" t="s">
        <v>56</v>
      </c>
      <c r="H18" s="5" t="s">
        <v>57</v>
      </c>
    </row>
    <row r="19">
      <c r="A19" s="1" t="s">
        <v>58</v>
      </c>
      <c r="B19" s="3" t="str">
        <f>IFERROR(__xludf.DUMMYFUNCTION("TRIM(REGEXEXTRACT(G19, ""^[^,]+""))"),"CEO")</f>
        <v>CEO</v>
      </c>
      <c r="C19" s="3" t="str">
        <f>IFERROR(__xludf.DUMMYFUNCTION("TRIM(REGEXREPLACE(G19, ""^[^,]+,"", """"))"),"G42 India")</f>
        <v>G42 India</v>
      </c>
      <c r="D19" s="4" t="str">
        <f>IFERROR(__xludf.DUMMYFUNCTION("IF(REGEXMATCH(H19, ""linkedin\.com""), H19, """")"),"https://ae.linkedin.com/in/manukumarjain")</f>
        <v>https://ae.linkedin.com/in/manukumarjain</v>
      </c>
      <c r="E19" s="1" t="s">
        <v>8</v>
      </c>
      <c r="G19" s="1" t="s">
        <v>59</v>
      </c>
      <c r="H19" s="5" t="s">
        <v>60</v>
      </c>
    </row>
    <row r="20">
      <c r="A20" s="1" t="s">
        <v>61</v>
      </c>
      <c r="B20" s="3" t="str">
        <f>IFERROR(__xludf.DUMMYFUNCTION("TRIM(REGEXEXTRACT(G20, ""^[^,]+""))"),"SVP &amp; India Country Lead")</f>
        <v>SVP &amp; India Country Lead</v>
      </c>
      <c r="C20" s="3" t="str">
        <f>IFERROR(__xludf.DUMMYFUNCTION("TRIM(REGEXREPLACE(G20, ""^[^,]+,"", """"))"),"Toast")</f>
        <v>Toast</v>
      </c>
      <c r="D20" s="4" t="str">
        <f>IFERROR(__xludf.DUMMYFUNCTION("IF(REGEXMATCH(H20, ""linkedin\.com""), H20, """")"),"https://www.linkedin.com/in/kavita-viswanath-7a0b581/")</f>
        <v>https://www.linkedin.com/in/kavita-viswanath-7a0b581/</v>
      </c>
      <c r="E20" s="1" t="s">
        <v>8</v>
      </c>
      <c r="G20" s="1" t="s">
        <v>62</v>
      </c>
      <c r="H20" s="5" t="s">
        <v>63</v>
      </c>
    </row>
    <row r="21">
      <c r="A21" s="1" t="s">
        <v>64</v>
      </c>
      <c r="B21" s="3" t="str">
        <f>IFERROR(__xludf.DUMMYFUNCTION("TRIM(REGEXEXTRACT(G21, ""^[^,]+""))"),"Lead Channel Partnerships - Business Messaging - India")</f>
        <v>Lead Channel Partnerships - Business Messaging - India</v>
      </c>
      <c r="C21" s="3" t="str">
        <f>IFERROR(__xludf.DUMMYFUNCTION("TRIM(REGEXREPLACE(G21, ""^[^,]+,"", """"))"),"Meta")</f>
        <v>Meta</v>
      </c>
      <c r="D21" s="4" t="str">
        <f>IFERROR(__xludf.DUMMYFUNCTION("IF(REGEXMATCH(H21, ""linkedin\.com""), H21, """")"),"https://www.linkedin.com/in/arzanprofile001/?originalSubdomain=in")</f>
        <v>https://www.linkedin.com/in/arzanprofile001/?originalSubdomain=in</v>
      </c>
      <c r="E21" s="1" t="s">
        <v>8</v>
      </c>
      <c r="G21" s="1" t="s">
        <v>65</v>
      </c>
      <c r="H21" s="5" t="s">
        <v>66</v>
      </c>
    </row>
    <row r="22">
      <c r="A22" s="1" t="s">
        <v>67</v>
      </c>
      <c r="B22" s="3" t="str">
        <f>IFERROR(__xludf.DUMMYFUNCTION("TRIM(REGEXEXTRACT(G22, ""^[^,]+""))"),"Co-founder &amp; CEO")</f>
        <v>Co-founder &amp; CEO</v>
      </c>
      <c r="C22" s="3" t="str">
        <f>IFERROR(__xludf.DUMMYFUNCTION("TRIM(REGEXREPLACE(G22, ""^[^,]+,"", """"))"),"Exotel")</f>
        <v>Exotel</v>
      </c>
      <c r="D22" s="4" t="str">
        <f>IFERROR(__xludf.DUMMYFUNCTION("IF(REGEXMATCH(H22, ""linkedin\.com""), H22, """")"),"https://www.linkedin.com/in/shivku")</f>
        <v>https://www.linkedin.com/in/shivku</v>
      </c>
      <c r="E22" s="1" t="s">
        <v>8</v>
      </c>
      <c r="G22" s="1" t="s">
        <v>68</v>
      </c>
      <c r="H22" s="5" t="s">
        <v>69</v>
      </c>
    </row>
    <row r="23">
      <c r="A23" s="1" t="s">
        <v>70</v>
      </c>
      <c r="B23" s="3" t="str">
        <f>IFERROR(__xludf.DUMMYFUNCTION("TRIM(REGEXEXTRACT(G23, ""^[^,]+""))"),"CBO")</f>
        <v>CBO</v>
      </c>
      <c r="C23" s="3" t="str">
        <f>IFERROR(__xludf.DUMMYFUNCTION("TRIM(REGEXREPLACE(G23, ""^[^,]+,"", """"))"),"Indus Appstore")</f>
        <v>Indus Appstore</v>
      </c>
      <c r="D23" s="4" t="str">
        <f>IFERROR(__xludf.DUMMYFUNCTION("IF(REGEXMATCH(H23, ""linkedin\.com""), H23, """")"),"https://www.linkedin.com/in/priya-narasimhan-1a40862/")</f>
        <v>https://www.linkedin.com/in/priya-narasimhan-1a40862/</v>
      </c>
      <c r="E23" s="1" t="s">
        <v>8</v>
      </c>
      <c r="G23" s="1" t="s">
        <v>71</v>
      </c>
      <c r="H23" s="5" t="s">
        <v>72</v>
      </c>
    </row>
    <row r="24">
      <c r="A24" s="1" t="s">
        <v>73</v>
      </c>
      <c r="B24" s="3" t="str">
        <f>IFERROR(__xludf.DUMMYFUNCTION("TRIM(REGEXEXTRACT(G24, ""^[^,]+""))"),"Managing Partner")</f>
        <v>Managing Partner</v>
      </c>
      <c r="C24" s="3" t="str">
        <f>IFERROR(__xludf.DUMMYFUNCTION("TRIM(REGEXREPLACE(G24, ""^[^,]+,"", """"))"),"Speciale Invest")</f>
        <v>Speciale Invest</v>
      </c>
      <c r="D24" s="4" t="str">
        <f>IFERROR(__xludf.DUMMYFUNCTION("IF(REGEXMATCH(H24, ""linkedin\.com""), H24, """")"),"https://www.linkedin.com/in/visheshraj/")</f>
        <v>https://www.linkedin.com/in/visheshraj/</v>
      </c>
      <c r="E24" s="1" t="s">
        <v>8</v>
      </c>
      <c r="G24" s="1" t="s">
        <v>74</v>
      </c>
      <c r="H24" s="5" t="s">
        <v>75</v>
      </c>
    </row>
    <row r="25">
      <c r="A25" s="1" t="s">
        <v>76</v>
      </c>
      <c r="B25" s="3" t="str">
        <f>IFERROR(__xludf.DUMMYFUNCTION("TRIM(REGEXEXTRACT(G25, ""^[^,]+""))"),"CEO")</f>
        <v>CEO</v>
      </c>
      <c r="C25" s="3" t="str">
        <f>IFERROR(__xludf.DUMMYFUNCTION("TRIM(REGEXREPLACE(G25, ""^[^,]+,"", """"))"),"PhonePe Lending")</f>
        <v>PhonePe Lending</v>
      </c>
      <c r="D25" s="4" t="str">
        <f>IFERROR(__xludf.DUMMYFUNCTION("IF(REGEXMATCH(H25, ""linkedin\.com""), H25, """")"),"https://www.linkedin.com/in/hemant-gala-95a3327/")</f>
        <v>https://www.linkedin.com/in/hemant-gala-95a3327/</v>
      </c>
      <c r="E25" s="1" t="s">
        <v>8</v>
      </c>
      <c r="G25" s="1" t="s">
        <v>77</v>
      </c>
      <c r="H25" s="5" t="s">
        <v>78</v>
      </c>
    </row>
    <row r="26">
      <c r="A26" s="1" t="s">
        <v>79</v>
      </c>
      <c r="B26" s="3" t="str">
        <f>IFERROR(__xludf.DUMMYFUNCTION("TRIM(REGEXEXTRACT(G26, ""^[^,]+""))"),"Group Chief Technology Officer")</f>
        <v>Group Chief Technology Officer</v>
      </c>
      <c r="C26" s="3" t="str">
        <f>IFERROR(__xludf.DUMMYFUNCTION("TRIM(REGEXREPLACE(G26, ""^[^,]+,"", """"))"),"MakeMyTrip")</f>
        <v>MakeMyTrip</v>
      </c>
      <c r="D26" s="4" t="str">
        <f>IFERROR(__xludf.DUMMYFUNCTION("IF(REGEXMATCH(H26, ""linkedin\.com""), H26, """")"),"https://www.linkedin.com/in/snjymhn")</f>
        <v>https://www.linkedin.com/in/snjymhn</v>
      </c>
      <c r="E26" s="1" t="s">
        <v>8</v>
      </c>
      <c r="G26" s="1" t="s">
        <v>80</v>
      </c>
      <c r="H26" s="5" t="s">
        <v>81</v>
      </c>
    </row>
    <row r="27">
      <c r="A27" s="1" t="s">
        <v>82</v>
      </c>
      <c r="B27" s="3" t="str">
        <f>IFERROR(__xludf.DUMMYFUNCTION("TRIM(REGEXEXTRACT(G27, ""^[^,]+""))"),"Executive Director")</f>
        <v>Executive Director</v>
      </c>
      <c r="C27" s="3" t="str">
        <f>IFERROR(__xludf.DUMMYFUNCTION("TRIM(REGEXREPLACE(G27, ""^[^,]+,"", """"))"),"Tally Solutions")</f>
        <v>Tally Solutions</v>
      </c>
      <c r="D27" s="4" t="str">
        <f>IFERROR(__xludf.DUMMYFUNCTION("IF(REGEXMATCH(H27, ""linkedin\.com""), H27, """")"),"https://in.linkedin.com/in/nupur-goenka-a13b18101")</f>
        <v>https://in.linkedin.com/in/nupur-goenka-a13b18101</v>
      </c>
      <c r="E27" s="1" t="s">
        <v>8</v>
      </c>
      <c r="G27" s="1" t="s">
        <v>83</v>
      </c>
      <c r="H27" s="5" t="s">
        <v>84</v>
      </c>
    </row>
    <row r="28">
      <c r="A28" s="1" t="s">
        <v>85</v>
      </c>
      <c r="B28" s="3" t="str">
        <f>IFERROR(__xludf.DUMMYFUNCTION("TRIM(REGEXEXTRACT(G28, ""^[^,]+""))"),"Managing Director")</f>
        <v>Managing Director</v>
      </c>
      <c r="C28" s="3" t="str">
        <f>IFERROR(__xludf.DUMMYFUNCTION("TRIM(REGEXREPLACE(G28, ""^[^,]+,"", """"))"),"Catalyst Brands India")</f>
        <v>Catalyst Brands India</v>
      </c>
      <c r="D28" s="4" t="str">
        <f>IFERROR(__xludf.DUMMYFUNCTION("IF(REGEXMATCH(H28, ""linkedin\.com""), H28, """")"),"https://www.linkedin.com/in/kaushikdaskd/?originalSubdomain=in")</f>
        <v>https://www.linkedin.com/in/kaushikdaskd/?originalSubdomain=in</v>
      </c>
      <c r="E28" s="1" t="s">
        <v>8</v>
      </c>
      <c r="G28" s="1" t="s">
        <v>86</v>
      </c>
      <c r="H28" s="5" t="s">
        <v>87</v>
      </c>
    </row>
    <row r="29">
      <c r="A29" s="1" t="s">
        <v>88</v>
      </c>
      <c r="B29" s="3" t="str">
        <f>IFERROR(__xludf.DUMMYFUNCTION("TRIM(REGEXEXTRACT(G29, ""^[^,]+""))"),"CEO")</f>
        <v>CEO</v>
      </c>
      <c r="C29" s="3" t="str">
        <f>IFERROR(__xludf.DUMMYFUNCTION("TRIM(REGEXREPLACE(G29, ""^[^,]+,"", """"))"),"InvestorAi")</f>
        <v>InvestorAi</v>
      </c>
      <c r="D29" s="4" t="str">
        <f>IFERROR(__xludf.DUMMYFUNCTION("IF(REGEXMATCH(H29, ""linkedin\.com""), H29, """")"),"https://www.linkedin.com/in/bruce-keith-b261bb12/")</f>
        <v>https://www.linkedin.com/in/bruce-keith-b261bb12/</v>
      </c>
      <c r="E29" s="1" t="s">
        <v>8</v>
      </c>
      <c r="G29" s="1" t="s">
        <v>89</v>
      </c>
      <c r="H29" s="5" t="s">
        <v>90</v>
      </c>
    </row>
    <row r="30">
      <c r="A30" s="1" t="s">
        <v>91</v>
      </c>
      <c r="B30" s="3" t="str">
        <f>IFERROR(__xludf.DUMMYFUNCTION("TRIM(REGEXEXTRACT(G30, ""^[^,]+""))"),"CTO")</f>
        <v>CTO</v>
      </c>
      <c r="C30" s="3" t="str">
        <f>IFERROR(__xludf.DUMMYFUNCTION("TRIM(REGEXREPLACE(G30, ""^[^,]+,"", """"))"),"Swiggy")</f>
        <v>Swiggy</v>
      </c>
      <c r="D30" s="4" t="str">
        <f>IFERROR(__xludf.DUMMYFUNCTION("IF(REGEXMATCH(H30, ""linkedin\.com""), H30, """")"),"https://www.linkedin.com/in/madhusudhanrao")</f>
        <v>https://www.linkedin.com/in/madhusudhanrao</v>
      </c>
      <c r="E30" s="1" t="s">
        <v>8</v>
      </c>
      <c r="G30" s="1" t="s">
        <v>92</v>
      </c>
      <c r="H30" s="5" t="s">
        <v>93</v>
      </c>
    </row>
    <row r="31">
      <c r="A31" s="1" t="s">
        <v>94</v>
      </c>
      <c r="B31" s="3" t="str">
        <f>IFERROR(__xludf.DUMMYFUNCTION("TRIM(REGEXEXTRACT(G31, ""^[^,]+""))"),"Investor &amp; Chief India Representative")</f>
        <v>Investor &amp; Chief India Representative</v>
      </c>
      <c r="C31" s="3" t="str">
        <f>IFERROR(__xludf.DUMMYFUNCTION("TRIM(REGEXREPLACE(G31, ""^[^,]+,"", """"))"),"Sweden-India Business Council")</f>
        <v>Sweden-India Business Council</v>
      </c>
      <c r="D31" s="4" t="str">
        <f>IFERROR(__xludf.DUMMYFUNCTION("IF(REGEXMATCH(H31, ""linkedin\.com""), H31, """")"),"https://www.linkedin.com/in/noi-cecilia-oldne-448b6b8/?originalSubdomain=in")</f>
        <v>https://www.linkedin.com/in/noi-cecilia-oldne-448b6b8/?originalSubdomain=in</v>
      </c>
      <c r="E31" s="1" t="s">
        <v>8</v>
      </c>
      <c r="G31" s="1" t="s">
        <v>95</v>
      </c>
      <c r="H31" s="5" t="s">
        <v>96</v>
      </c>
    </row>
    <row r="32">
      <c r="A32" s="1" t="s">
        <v>97</v>
      </c>
      <c r="B32" s="3" t="str">
        <f>IFERROR(__xludf.DUMMYFUNCTION("TRIM(REGEXEXTRACT(G32, ""^[^,]+""))"),"CTO &amp; Product Officer")</f>
        <v>CTO &amp; Product Officer</v>
      </c>
      <c r="C32" s="3" t="str">
        <f>IFERROR(__xludf.DUMMYFUNCTION("TRIM(REGEXREPLACE(G32, ""^[^,]+,"", """"))"),"Flipkart")</f>
        <v>Flipkart</v>
      </c>
      <c r="D32" s="4" t="str">
        <f>IFERROR(__xludf.DUMMYFUNCTION("IF(REGEXMATCH(H32, ""linkedin\.com""), H32, """")"),"https://www.linkedin.com/in/balajith/")</f>
        <v>https://www.linkedin.com/in/balajith/</v>
      </c>
      <c r="E32" s="1" t="s">
        <v>8</v>
      </c>
      <c r="G32" s="1" t="s">
        <v>98</v>
      </c>
      <c r="H32" s="5" t="s">
        <v>99</v>
      </c>
    </row>
    <row r="33">
      <c r="A33" s="1" t="s">
        <v>100</v>
      </c>
      <c r="B33" s="3" t="str">
        <f>IFERROR(__xludf.DUMMYFUNCTION("TRIM(REGEXEXTRACT(G33, ""^[^,]+""))"),"Co-founder &amp; CTO")</f>
        <v>Co-founder &amp; CTO</v>
      </c>
      <c r="C33" s="7" t="str">
        <f>IFERROR(__xludf.DUMMYFUNCTION("TRIM(REGEXREPLACE(G33, ""^[^,]+,"", """"))"),"Observe.AI")</f>
        <v>Observe.AI</v>
      </c>
      <c r="D33" s="4" t="str">
        <f>IFERROR(__xludf.DUMMYFUNCTION("IF(REGEXMATCH(H33, ""linkedin\.com""), H33, """")"),"https://www.linkedin.com/in/jithendra-vepa")</f>
        <v>https://www.linkedin.com/in/jithendra-vepa</v>
      </c>
      <c r="G33" s="1" t="s">
        <v>101</v>
      </c>
      <c r="H33" s="5" t="s">
        <v>102</v>
      </c>
    </row>
    <row r="34">
      <c r="A34" s="1" t="s">
        <v>103</v>
      </c>
      <c r="B34" s="3" t="str">
        <f>IFERROR(__xludf.DUMMYFUNCTION("TRIM(REGEXEXTRACT(G34, ""^[^,]+""))"),"General Partner")</f>
        <v>General Partner</v>
      </c>
      <c r="C34" s="3" t="str">
        <f>IFERROR(__xludf.DUMMYFUNCTION("TRIM(REGEXREPLACE(G34, ""^[^,]+,"", """"))"),"Speciale Invest")</f>
        <v>Speciale Invest</v>
      </c>
      <c r="D34" s="4" t="str">
        <f>IFERROR(__xludf.DUMMYFUNCTION("IF(REGEXMATCH(H34, ""linkedin\.com""), H34, """")"),"https://www.linkedin.com/in/raoarjun/")</f>
        <v>https://www.linkedin.com/in/raoarjun/</v>
      </c>
      <c r="G34" s="1" t="s">
        <v>104</v>
      </c>
      <c r="H34" s="5" t="s">
        <v>105</v>
      </c>
    </row>
    <row r="35">
      <c r="A35" s="1" t="s">
        <v>106</v>
      </c>
      <c r="B35" s="3" t="str">
        <f>IFERROR(__xludf.DUMMYFUNCTION("TRIM(REGEXEXTRACT(G35, ""^[^,]+""))"),"Head of Engineering &amp; India Site Leader")</f>
        <v>Head of Engineering &amp; India Site Leader</v>
      </c>
      <c r="C35" s="3" t="str">
        <f>IFERROR(__xludf.DUMMYFUNCTION("TRIM(REGEXREPLACE(G35, ""^[^,]+,"", """"))"),"Atlassian")</f>
        <v>Atlassian</v>
      </c>
      <c r="D35" s="4" t="str">
        <f>IFERROR(__xludf.DUMMYFUNCTION("IF(REGEXMATCH(H35, ""linkedin\.com""), H35, """")"),"https://www.linkedin.com/in/paranth-thiruvengadam")</f>
        <v>https://www.linkedin.com/in/paranth-thiruvengadam</v>
      </c>
      <c r="G35" s="1" t="s">
        <v>107</v>
      </c>
      <c r="H35" s="5" t="s">
        <v>108</v>
      </c>
    </row>
    <row r="36">
      <c r="A36" s="1" t="s">
        <v>109</v>
      </c>
      <c r="B36" s="3" t="str">
        <f>IFERROR(__xludf.DUMMYFUNCTION("TRIM(REGEXEXTRACT(G36, ""^[^,]+""))"),"Co-founder &amp; Managing Partner")</f>
        <v>Co-founder &amp; Managing Partner</v>
      </c>
      <c r="C36" s="3" t="str">
        <f>IFERROR(__xludf.DUMMYFUNCTION("TRIM(REGEXREPLACE(G36, ""^[^,]+,"", """"))"),"WestBridge Capital")</f>
        <v>WestBridge Capital</v>
      </c>
      <c r="D36" s="4" t="str">
        <f>IFERROR(__xludf.DUMMYFUNCTION("IF(REGEXMATCH(H36, ""linkedin\.com""), H36, """")"),"https://www.linkedin.com/in/sandeep-singhal-604499/")</f>
        <v>https://www.linkedin.com/in/sandeep-singhal-604499/</v>
      </c>
      <c r="G36" s="1" t="s">
        <v>110</v>
      </c>
      <c r="H36" s="5" t="s">
        <v>111</v>
      </c>
    </row>
    <row r="37">
      <c r="A37" s="1" t="s">
        <v>112</v>
      </c>
      <c r="B37" s="3" t="str">
        <f>IFERROR(__xludf.DUMMYFUNCTION("TRIM(REGEXEXTRACT(G37, ""^[^,]+""))"),"Director for Global Promotion")</f>
        <v>Director for Global Promotion</v>
      </c>
      <c r="C37" s="3" t="str">
        <f>IFERROR(__xludf.DUMMYFUNCTION("TRIM(REGEXREPLACE(G37, ""^[^,]+,"", """"))"),"Tokyo Metropolitan Government")</f>
        <v>Tokyo Metropolitan Government</v>
      </c>
      <c r="D37" s="6" t="str">
        <f>IFERROR(__xludf.DUMMYFUNCTION("IF(REGEXMATCH(H37, ""linkedin\.com""), H37, """")"),"")</f>
        <v/>
      </c>
      <c r="G37" s="1" t="s">
        <v>113</v>
      </c>
      <c r="H37" s="5" t="s">
        <v>43</v>
      </c>
    </row>
    <row r="38">
      <c r="A38" s="1" t="s">
        <v>114</v>
      </c>
      <c r="B38" s="3" t="str">
        <f>IFERROR(__xludf.DUMMYFUNCTION("TRIM(REGEXEXTRACT(G38, ""^[^,]+""))"),"Founder &amp; CEO")</f>
        <v>Founder &amp; CEO</v>
      </c>
      <c r="C38" s="3" t="str">
        <f>IFERROR(__xludf.DUMMYFUNCTION("TRIM(REGEXREPLACE(G38, ""^[^,]+,"", """"))"),"Pixxel")</f>
        <v>Pixxel</v>
      </c>
      <c r="D38" s="4" t="str">
        <f>IFERROR(__xludf.DUMMYFUNCTION("IF(REGEXMATCH(H38, ""linkedin\.com""), H38, """")"),"https://in.linkedin.com/in/awaisahmedna")</f>
        <v>https://in.linkedin.com/in/awaisahmedna</v>
      </c>
      <c r="G38" s="1" t="s">
        <v>115</v>
      </c>
      <c r="H38" s="5" t="s">
        <v>116</v>
      </c>
    </row>
    <row r="39">
      <c r="A39" s="1" t="s">
        <v>117</v>
      </c>
      <c r="B39" s="3" t="str">
        <f>IFERROR(__xludf.DUMMYFUNCTION("TRIM(REGEXEXTRACT(G39, ""^[^,]+""))"),"Co-founder &amp; India President")</f>
        <v>Co-founder &amp; India President</v>
      </c>
      <c r="C39" s="3" t="str">
        <f>IFERROR(__xludf.DUMMYFUNCTION("TRIM(REGEXREPLACE(G39, ""^[^,]+,"", """"))"),"Nothing")</f>
        <v>Nothing</v>
      </c>
      <c r="D39" s="4" t="str">
        <f>IFERROR(__xludf.DUMMYFUNCTION("IF(REGEXMATCH(H39, ""linkedin\.com""), H39, """")"),"https://linkedin.com/in/aevangelidis?originalSubdomain=uk")</f>
        <v>https://linkedin.com/in/aevangelidis?originalSubdomain=uk</v>
      </c>
      <c r="G39" s="1" t="s">
        <v>118</v>
      </c>
      <c r="H39" s="5" t="s">
        <v>119</v>
      </c>
    </row>
    <row r="40">
      <c r="A40" s="1" t="s">
        <v>120</v>
      </c>
      <c r="B40" s="3" t="str">
        <f>IFERROR(__xludf.DUMMYFUNCTION("TRIM(REGEXEXTRACT(G40, ""^[^,]+""))"),"Head of YuVerse")</f>
        <v>Head of YuVerse</v>
      </c>
      <c r="C40" s="3" t="str">
        <f>IFERROR(__xludf.DUMMYFUNCTION("TRIM(REGEXREPLACE(G40, ""^[^,]+,"", """"))"),"Yubi Group")</f>
        <v>Yubi Group</v>
      </c>
      <c r="D40" s="4" t="str">
        <f>IFERROR(__xludf.DUMMYFUNCTION("IF(REGEXMATCH(H40, ""linkedin\.com""), H40, """")"),"https://www.linkedin.com/in/mathangisri/")</f>
        <v>https://www.linkedin.com/in/mathangisri/</v>
      </c>
      <c r="G40" s="1" t="s">
        <v>121</v>
      </c>
      <c r="H40" s="5" t="s">
        <v>122</v>
      </c>
    </row>
    <row r="41">
      <c r="A41" s="1" t="s">
        <v>123</v>
      </c>
      <c r="B41" s="3" t="str">
        <f>IFERROR(__xludf.DUMMYFUNCTION("TRIM(REGEXEXTRACT(G41, ""^[^,]+""))"),"CEO")</f>
        <v>CEO</v>
      </c>
      <c r="C41" s="3" t="str">
        <f>IFERROR(__xludf.DUMMYFUNCTION("TRIM(REGEXREPLACE(G41, ""^[^,]+,"", """"))"),"PhonePe Insurance")</f>
        <v>PhonePe Insurance</v>
      </c>
      <c r="D41" s="4" t="str">
        <f>IFERROR(__xludf.DUMMYFUNCTION("IF(REGEXMATCH(H41, ""linkedin\.com""), H41, """")"),"https://www.linkedin.com/in/vishalgupta78/")</f>
        <v>https://www.linkedin.com/in/vishalgupta78/</v>
      </c>
      <c r="G41" s="1" t="s">
        <v>124</v>
      </c>
      <c r="H41" s="5" t="s">
        <v>125</v>
      </c>
    </row>
    <row r="42">
      <c r="A42" s="1" t="s">
        <v>126</v>
      </c>
      <c r="B42" s="3" t="str">
        <f>IFERROR(__xludf.DUMMYFUNCTION("TRIM(REGEXEXTRACT(G42, ""^[^,]+""))"),"Managing Director - India")</f>
        <v>Managing Director - India</v>
      </c>
      <c r="C42" s="3" t="str">
        <f>IFERROR(__xludf.DUMMYFUNCTION("TRIM(REGEXREPLACE(G42, ""^[^,]+,"", """"))"),"Snowflake")</f>
        <v>Snowflake</v>
      </c>
      <c r="D42" s="4" t="str">
        <f>IFERROR(__xludf.DUMMYFUNCTION("IF(REGEXMATCH(H42, ""linkedin\.com""), H42, """")"),"https://www.linkedin.com/in/vijayant-rai-226203a/")</f>
        <v>https://www.linkedin.com/in/vijayant-rai-226203a/</v>
      </c>
      <c r="G42" s="1" t="s">
        <v>127</v>
      </c>
      <c r="H42" s="5" t="s">
        <v>128</v>
      </c>
    </row>
    <row r="43">
      <c r="A43" s="1" t="s">
        <v>129</v>
      </c>
      <c r="B43" s="3" t="str">
        <f>IFERROR(__xludf.DUMMYFUNCTION("TRIM(REGEXEXTRACT(G43, ""^[^,]+""))"),"Head of Engineering")</f>
        <v>Head of Engineering</v>
      </c>
      <c r="C43" s="3" t="str">
        <f>IFERROR(__xludf.DUMMYFUNCTION("TRIM(REGEXREPLACE(G43, ""^[^,]+,"", """"))"),"PhonePe")</f>
        <v>PhonePe</v>
      </c>
      <c r="D43" s="4" t="str">
        <f>IFERROR(__xludf.DUMMYFUNCTION("IF(REGEXMATCH(H43, ""linkedin\.com""), H43, """")"),"https://www.linkedin.com/in/aniruddha/")</f>
        <v>https://www.linkedin.com/in/aniruddha/</v>
      </c>
      <c r="G43" s="1" t="s">
        <v>130</v>
      </c>
      <c r="H43" s="5" t="s">
        <v>131</v>
      </c>
    </row>
    <row r="44">
      <c r="A44" s="1" t="s">
        <v>132</v>
      </c>
      <c r="B44" s="3" t="str">
        <f>IFERROR(__xludf.DUMMYFUNCTION("TRIM(REGEXEXTRACT(G44, ""^[^,]+""))"),"GTM India Lead")</f>
        <v>GTM India Lead</v>
      </c>
      <c r="C44" s="3" t="str">
        <f>IFERROR(__xludf.DUMMYFUNCTION("TRIM(REGEXREPLACE(G44, ""^[^,]+,"", """"))"),"Groq")</f>
        <v>Groq</v>
      </c>
      <c r="D44" s="4" t="str">
        <f>IFERROR(__xludf.DUMMYFUNCTION("IF(REGEXMATCH(H44, ""linkedin\.com""), H44, """")"),"https://www.linkedin.com/in/akaurbajwa/")</f>
        <v>https://www.linkedin.com/in/akaurbajwa/</v>
      </c>
      <c r="G44" s="1" t="s">
        <v>133</v>
      </c>
      <c r="H44" s="5" t="s">
        <v>134</v>
      </c>
    </row>
    <row r="45">
      <c r="A45" s="1" t="s">
        <v>135</v>
      </c>
      <c r="B45" s="3" t="str">
        <f>IFERROR(__xludf.DUMMYFUNCTION("TRIM(REGEXEXTRACT(G45, ""^[^,]+""))"),"Co-founder")</f>
        <v>Co-founder</v>
      </c>
      <c r="C45" s="3" t="str">
        <f>IFERROR(__xludf.DUMMYFUNCTION("TRIM(REGEXREPLACE(G45, ""^[^,]+,"", """"))"),"CleverTap")</f>
        <v>CleverTap</v>
      </c>
      <c r="D45" s="4" t="str">
        <f>IFERROR(__xludf.DUMMYFUNCTION("IF(REGEXMATCH(H45, ""linkedin\.com""), H45, """")"),"https://www.linkedin.com/in/anand-jain-07a8012/?originalSubdomain=in")</f>
        <v>https://www.linkedin.com/in/anand-jain-07a8012/?originalSubdomain=in</v>
      </c>
      <c r="G45" s="1" t="s">
        <v>136</v>
      </c>
      <c r="H45" s="5" t="s">
        <v>137</v>
      </c>
    </row>
    <row r="46">
      <c r="A46" s="1" t="s">
        <v>138</v>
      </c>
      <c r="B46" s="3" t="str">
        <f>IFERROR(__xludf.DUMMYFUNCTION("TRIM(REGEXEXTRACT(G46, ""^[^,]+""))"),"Co-founder")</f>
        <v>Co-founder</v>
      </c>
      <c r="C46" s="3" t="str">
        <f>IFERROR(__xludf.DUMMYFUNCTION("TRIM(REGEXREPLACE(G46, ""^[^,]+,"", """"))"),"Sarvam AI")</f>
        <v>Sarvam AI</v>
      </c>
      <c r="D46" s="4" t="str">
        <f>IFERROR(__xludf.DUMMYFUNCTION("IF(REGEXMATCH(H46, ""linkedin\.com""), H46, """")"),"https://www.linkedin.com/in/vivek-raghavan-16005424/?originalSubdomain=in")</f>
        <v>https://www.linkedin.com/in/vivek-raghavan-16005424/?originalSubdomain=in</v>
      </c>
      <c r="G46" s="1" t="s">
        <v>139</v>
      </c>
      <c r="H46" s="5" t="s">
        <v>140</v>
      </c>
    </row>
    <row r="47">
      <c r="A47" s="1" t="s">
        <v>141</v>
      </c>
      <c r="B47" s="3" t="str">
        <f>IFERROR(__xludf.DUMMYFUNCTION("TRIM(REGEXEXTRACT(G47, ""^[^,]+""))"),"Vice President Of Engineering &amp; Engineering Site leader")</f>
        <v>Vice President Of Engineering &amp; Engineering Site leader</v>
      </c>
      <c r="C47" s="3" t="str">
        <f>IFERROR(__xludf.DUMMYFUNCTION("TRIM(REGEXREPLACE(G47, ""^[^,]+,"", """"))"),"NetApp India")</f>
        <v>NetApp India</v>
      </c>
      <c r="D47" s="4" t="str">
        <f>IFERROR(__xludf.DUMMYFUNCTION("IF(REGEXMATCH(H47, ""linkedin\.com""), H47, """")"),"https://www.linkedin.com/in/rvasanthi/")</f>
        <v>https://www.linkedin.com/in/rvasanthi/</v>
      </c>
      <c r="G47" s="1" t="s">
        <v>142</v>
      </c>
      <c r="H47" s="5" t="s">
        <v>143</v>
      </c>
    </row>
    <row r="48">
      <c r="A48" s="1" t="s">
        <v>144</v>
      </c>
      <c r="B48" s="3" t="str">
        <f>IFERROR(__xludf.DUMMYFUNCTION("TRIM(REGEXEXTRACT(G48, ""^[^,]+""))"),"Head of Product for ITSM")</f>
        <v>Head of Product for ITSM</v>
      </c>
      <c r="C48" s="3" t="str">
        <f>IFERROR(__xludf.DUMMYFUNCTION("TRIM(REGEXREPLACE(G48, ""^[^,]+,"", """"))"),"Atlassian")</f>
        <v>Atlassian</v>
      </c>
      <c r="D48" s="4" t="str">
        <f>IFERROR(__xludf.DUMMYFUNCTION("IF(REGEXMATCH(H48, ""linkedin\.com""), H48, """")"),"https://www.linkedin.com/in/shamiksharma")</f>
        <v>https://www.linkedin.com/in/shamiksharma</v>
      </c>
      <c r="G48" s="1" t="s">
        <v>145</v>
      </c>
      <c r="H48" s="5" t="s">
        <v>146</v>
      </c>
    </row>
    <row r="49">
      <c r="A49" s="1" t="s">
        <v>147</v>
      </c>
      <c r="B49" s="3" t="str">
        <f>IFERROR(__xludf.DUMMYFUNCTION("TRIM(REGEXEXTRACT(G49, ""^[^,]+""))"),"CTO")</f>
        <v>CTO</v>
      </c>
      <c r="C49" s="3" t="str">
        <f>IFERROR(__xludf.DUMMYFUNCTION("TRIM(REGEXREPLACE(G49, ""^[^,]+,"", """"))"),"Microsoft Innovation Hub, Microsoft India")</f>
        <v>Microsoft Innovation Hub, Microsoft India</v>
      </c>
      <c r="D49" s="4" t="str">
        <f>IFERROR(__xludf.DUMMYFUNCTION("IF(REGEXMATCH(H49, ""linkedin\.com""), H49, """")"),"https://www.linkedin.com/in/sandeepalur/?originalSubdomain=in")</f>
        <v>https://www.linkedin.com/in/sandeepalur/?originalSubdomain=in</v>
      </c>
      <c r="G49" s="1" t="s">
        <v>148</v>
      </c>
      <c r="H49" s="5" t="s">
        <v>149</v>
      </c>
    </row>
    <row r="50">
      <c r="A50" s="1" t="s">
        <v>150</v>
      </c>
      <c r="B50" s="3" t="str">
        <f>IFERROR(__xludf.DUMMYFUNCTION("TRIM(REGEXEXTRACT(G50, ""^[^,]+""))"),"Co-founder &amp; CEO")</f>
        <v>Co-founder &amp; CEO</v>
      </c>
      <c r="C50" s="3" t="str">
        <f>IFERROR(__xludf.DUMMYFUNCTION("TRIM(REGEXREPLACE(G50, ""^[^,]+,"", """"))"),"Ethereal Machines")</f>
        <v>Ethereal Machines</v>
      </c>
      <c r="D50" s="4" t="str">
        <f>IFERROR(__xludf.DUMMYFUNCTION("IF(REGEXMATCH(H50, ""linkedin\.com""), H50, """")"),"https://www.linkedin.com/in/kaushikmudda")</f>
        <v>https://www.linkedin.com/in/kaushikmudda</v>
      </c>
      <c r="G50" s="1" t="s">
        <v>151</v>
      </c>
      <c r="H50" s="5" t="s">
        <v>152</v>
      </c>
    </row>
    <row r="51">
      <c r="A51" s="1" t="s">
        <v>153</v>
      </c>
      <c r="B51" s="3" t="str">
        <f>IFERROR(__xludf.DUMMYFUNCTION("TRIM(REGEXEXTRACT(G51, ""^[^,]+""))"),"Co-founder &amp; CPTO")</f>
        <v>Co-founder &amp; CPTO</v>
      </c>
      <c r="C51" s="3" t="str">
        <f>IFERROR(__xludf.DUMMYFUNCTION("TRIM(REGEXREPLACE(G51, ""^[^,]+,"", """"))"),"Urban Company")</f>
        <v>Urban Company</v>
      </c>
      <c r="D51" s="4" t="str">
        <f>IFERROR(__xludf.DUMMYFUNCTION("IF(REGEXMATCH(H51, ""linkedin\.com""), H51, """")"),"https://www.linkedin.com/in/raghavchandra/")</f>
        <v>https://www.linkedin.com/in/raghavchandra/</v>
      </c>
      <c r="G51" s="1" t="s">
        <v>154</v>
      </c>
      <c r="H51" s="5" t="s">
        <v>155</v>
      </c>
    </row>
    <row r="52">
      <c r="A52" s="1" t="s">
        <v>156</v>
      </c>
      <c r="B52" s="3" t="str">
        <f>IFERROR(__xludf.DUMMYFUNCTION("TRIM(REGEXEXTRACT(G52, ""^[^,]+""))"),"India Lead - Tech Provider Ecosystem")</f>
        <v>India Lead - Tech Provider Ecosystem</v>
      </c>
      <c r="C52" s="3" t="str">
        <f>IFERROR(__xludf.DUMMYFUNCTION("TRIM(REGEXREPLACE(G52, ""^[^,]+,"", """"))"),"Meta")</f>
        <v>Meta</v>
      </c>
      <c r="D52" s="4" t="str">
        <f>IFERROR(__xludf.DUMMYFUNCTION("IF(REGEXMATCH(H52, ""linkedin\.com""), H52, """")"),"https://www.linkedin.com/in/nayani-nasa-b74b6318/")</f>
        <v>https://www.linkedin.com/in/nayani-nasa-b74b6318/</v>
      </c>
      <c r="G52" s="1" t="s">
        <v>157</v>
      </c>
      <c r="H52" s="5" t="s">
        <v>158</v>
      </c>
    </row>
    <row r="53">
      <c r="A53" s="1" t="s">
        <v>159</v>
      </c>
      <c r="B53" s="3" t="str">
        <f>IFERROR(__xludf.DUMMYFUNCTION("TRIM(REGEXEXTRACT(G53, ""^[^,]+""))"),"Co-founder &amp; CEO")</f>
        <v>Co-founder &amp; CEO</v>
      </c>
      <c r="C53" s="3" t="str">
        <f>IFERROR(__xludf.DUMMYFUNCTION("TRIM(REGEXREPLACE(G53, ""^[^,]+,"", """"))"),"Zetwerk")</f>
        <v>Zetwerk</v>
      </c>
      <c r="D53" s="4" t="str">
        <f>IFERROR(__xludf.DUMMYFUNCTION("IF(REGEXMATCH(H53, ""linkedin\.com""), H53, """")"),"https://www.linkedin.com/in/amrit-acharya/?originalSubdomain=in")</f>
        <v>https://www.linkedin.com/in/amrit-acharya/?originalSubdomain=in</v>
      </c>
      <c r="G53" s="1" t="s">
        <v>160</v>
      </c>
      <c r="H53" s="5" t="s">
        <v>161</v>
      </c>
    </row>
    <row r="54">
      <c r="A54" s="1" t="s">
        <v>162</v>
      </c>
      <c r="B54" s="3" t="str">
        <f>IFERROR(__xludf.DUMMYFUNCTION("TRIM(REGEXEXTRACT(G54, ""^[^,]+""))"),"President")</f>
        <v>President</v>
      </c>
      <c r="C54" s="3" t="str">
        <f>IFERROR(__xludf.DUMMYFUNCTION("TRIM(REGEXREPLACE(G54, ""^[^,]+,"", """"))"),"India &amp; South Asia, Mastercard")</f>
        <v>India &amp; South Asia, Mastercard</v>
      </c>
      <c r="D54" s="4" t="str">
        <f>IFERROR(__xludf.DUMMYFUNCTION("IF(REGEXMATCH(H54, ""linkedin\.com""), H54, """")"),"https://www.linkedin.com/in/gautamagg/?originalSubdomain=in")</f>
        <v>https://www.linkedin.com/in/gautamagg/?originalSubdomain=in</v>
      </c>
      <c r="G54" s="1" t="s">
        <v>163</v>
      </c>
      <c r="H54" s="5" t="s">
        <v>164</v>
      </c>
    </row>
    <row r="55">
      <c r="A55" s="1" t="s">
        <v>165</v>
      </c>
      <c r="B55" s="3" t="str">
        <f>IFERROR(__xludf.DUMMYFUNCTION("TRIM(REGEXEXTRACT(G55, ""^[^,]+""))"),"Founder &amp; CEO")</f>
        <v>Founder &amp; CEO</v>
      </c>
      <c r="C55" s="3" t="str">
        <f>IFERROR(__xludf.DUMMYFUNCTION("TRIM(REGEXREPLACE(G55, ""^[^,]+,"", """"))"),"Livspace")</f>
        <v>Livspace</v>
      </c>
      <c r="D55" s="4" t="str">
        <f>IFERROR(__xludf.DUMMYFUNCTION("IF(REGEXMATCH(H55, ""linkedin\.com""), H55, """")"),"https://www.linkedin.com/in/sharmaramakant/")</f>
        <v>https://www.linkedin.com/in/sharmaramakant/</v>
      </c>
      <c r="G55" s="1" t="s">
        <v>166</v>
      </c>
      <c r="H55" s="5" t="s">
        <v>167</v>
      </c>
    </row>
    <row r="56">
      <c r="A56" s="1" t="s">
        <v>168</v>
      </c>
      <c r="B56" s="3" t="str">
        <f>IFERROR(__xludf.DUMMYFUNCTION("TRIM(REGEXEXTRACT(G56, ""^[^,]+""))"),"Head of Corporate Communications")</f>
        <v>Head of Corporate Communications</v>
      </c>
      <c r="C56" s="3" t="str">
        <f>IFERROR(__xludf.DUMMYFUNCTION("TRIM(REGEXREPLACE(G56, ""^[^,]+,"", """"))"),"PhonePe")</f>
        <v>PhonePe</v>
      </c>
      <c r="D56" s="4" t="str">
        <f>IFERROR(__xludf.DUMMYFUNCTION("IF(REGEXMATCH(H56, ""linkedin\.com""), H56, """")"),"https://www.linkedin.com/in/patankarpriya/")</f>
        <v>https://www.linkedin.com/in/patankarpriya/</v>
      </c>
      <c r="G56" s="1" t="s">
        <v>169</v>
      </c>
      <c r="H56" s="5" t="s">
        <v>170</v>
      </c>
    </row>
    <row r="57">
      <c r="A57" s="1" t="s">
        <v>171</v>
      </c>
      <c r="B57" s="3" t="str">
        <f>IFERROR(__xludf.DUMMYFUNCTION("TRIM(REGEXEXTRACT(G57, ""^[^,]+""))"),"Co-founder &amp; CTO")</f>
        <v>Co-founder &amp; CTO</v>
      </c>
      <c r="C57" s="3" t="str">
        <f>IFERROR(__xludf.DUMMYFUNCTION("TRIM(REGEXREPLACE(G57, ""^[^,]+,"", """"))"),"InsuranceDekho")</f>
        <v>InsuranceDekho</v>
      </c>
      <c r="D57" s="4" t="str">
        <f>IFERROR(__xludf.DUMMYFUNCTION("IF(REGEXMATCH(H57, ""linkedin\.com""), H57, """")"),"https://www.linkedin.com/in/ish-babbar")</f>
        <v>https://www.linkedin.com/in/ish-babbar</v>
      </c>
      <c r="G57" s="1" t="s">
        <v>172</v>
      </c>
      <c r="H57" s="5" t="s">
        <v>173</v>
      </c>
    </row>
    <row r="58">
      <c r="A58" s="1" t="s">
        <v>174</v>
      </c>
      <c r="B58" s="3" t="str">
        <f>IFERROR(__xludf.DUMMYFUNCTION("TRIM(REGEXEXTRACT(G58, ""^[^,]+""))"),"Co-founder")</f>
        <v>Co-founder</v>
      </c>
      <c r="C58" s="3" t="str">
        <f>IFERROR(__xludf.DUMMYFUNCTION("TRIM(REGEXREPLACE(G58, ""^[^,]+,"", """"))"),"Orange Health Labs")</f>
        <v>Orange Health Labs</v>
      </c>
      <c r="D58" s="4" t="str">
        <f>IFERROR(__xludf.DUMMYFUNCTION("IF(REGEXMATCH(H58, ""linkedin\.com""), H58, """")"),"https://www.linkedin.com/in/dhruvgupta1/")</f>
        <v>https://www.linkedin.com/in/dhruvgupta1/</v>
      </c>
      <c r="G58" s="1" t="s">
        <v>175</v>
      </c>
      <c r="H58" s="5" t="s">
        <v>176</v>
      </c>
    </row>
    <row r="59">
      <c r="A59" s="1" t="s">
        <v>177</v>
      </c>
      <c r="B59" s="3" t="str">
        <f>IFERROR(__xludf.DUMMYFUNCTION("TRIM(REGEXEXTRACT(G59, ""^[^,]+""))"),"Actor &amp; Co-founder")</f>
        <v>Actor &amp; Co-founder</v>
      </c>
      <c r="C59" s="3" t="str">
        <f>IFERROR(__xludf.DUMMYFUNCTION("TRIM(REGEXREPLACE(G59, ""^[^,]+,"", """"))"),"Ketto")</f>
        <v>Ketto</v>
      </c>
      <c r="D59" s="6" t="str">
        <f>IFERROR(__xludf.DUMMYFUNCTION("IF(REGEXMATCH(H59, ""linkedin\.com""), H59, """")"),"")</f>
        <v/>
      </c>
      <c r="G59" s="1" t="s">
        <v>178</v>
      </c>
      <c r="H59" s="5" t="s">
        <v>179</v>
      </c>
    </row>
    <row r="60">
      <c r="A60" s="1" t="s">
        <v>180</v>
      </c>
      <c r="B60" s="3" t="str">
        <f>IFERROR(__xludf.DUMMYFUNCTION("TRIM(REGEXEXTRACT(G60, ""^[^,]+""))"),"General Manager")</f>
        <v>General Manager</v>
      </c>
      <c r="C60" s="3" t="str">
        <f>IFERROR(__xludf.DUMMYFUNCTION("TRIM(REGEXREPLACE(G60, ""^[^,]+,"", """"))"),"Groq APAC, Groq")</f>
        <v>Groq APAC, Groq</v>
      </c>
      <c r="D60" s="4" t="str">
        <f>IFERROR(__xludf.DUMMYFUNCTION("IF(REGEXMATCH(H60, ""linkedin\.com""), H60, """")"),"https://www.linkedin.com/in/scottalbin/?originalSubdomain=sg")</f>
        <v>https://www.linkedin.com/in/scottalbin/?originalSubdomain=sg</v>
      </c>
      <c r="G60" s="1" t="s">
        <v>181</v>
      </c>
      <c r="H60" s="5" t="s">
        <v>182</v>
      </c>
    </row>
    <row r="61">
      <c r="A61" s="1" t="s">
        <v>183</v>
      </c>
      <c r="B61" s="3" t="str">
        <f>IFERROR(__xludf.DUMMYFUNCTION("TRIM(REGEXEXTRACT(G61, ""^[^,]+""))"),"Founder")</f>
        <v>Founder</v>
      </c>
      <c r="C61" s="3" t="str">
        <f>IFERROR(__xludf.DUMMYFUNCTION("TRIM(REGEXREPLACE(G61, ""^[^,]+,"", """"))"),"Interplanetary Species, Nexular &amp; Techno Creatives Venture")</f>
        <v>Interplanetary Species, Nexular &amp; Techno Creatives Venture</v>
      </c>
      <c r="D61" s="4" t="str">
        <f>IFERROR(__xludf.DUMMYFUNCTION("IF(REGEXMATCH(H61, ""linkedin\.com""), H61, """")"),"https://www.linkedin.com/in/rozada/?originalSubdomain=se")</f>
        <v>https://www.linkedin.com/in/rozada/?originalSubdomain=se</v>
      </c>
      <c r="G61" s="1" t="s">
        <v>184</v>
      </c>
      <c r="H61" s="5" t="s">
        <v>185</v>
      </c>
    </row>
    <row r="62">
      <c r="A62" s="1" t="s">
        <v>186</v>
      </c>
      <c r="B62" s="3" t="str">
        <f>IFERROR(__xludf.DUMMYFUNCTION("TRIM(REGEXEXTRACT(G62, ""^[^,]+""))"),"Founder &amp; CEO")</f>
        <v>Founder &amp; CEO</v>
      </c>
      <c r="C62" s="3" t="str">
        <f>IFERROR(__xludf.DUMMYFUNCTION("TRIM(REGEXREPLACE(G62, ""^[^,]+,"", """"))"),"CureBay")</f>
        <v>CureBay</v>
      </c>
      <c r="D62" s="4" t="str">
        <f>IFERROR(__xludf.DUMMYFUNCTION("IF(REGEXMATCH(H62, ""linkedin\.com""), H62, """")"),"https://www.linkedin.com/in/priyadarshi-mohapatra-a051823/")</f>
        <v>https://www.linkedin.com/in/priyadarshi-mohapatra-a051823/</v>
      </c>
      <c r="G62" s="1" t="s">
        <v>187</v>
      </c>
      <c r="H62" s="5" t="s">
        <v>188</v>
      </c>
    </row>
    <row r="63">
      <c r="A63" s="1" t="s">
        <v>189</v>
      </c>
      <c r="B63" s="3" t="str">
        <f>IFERROR(__xludf.DUMMYFUNCTION("TRIM(REGEXEXTRACT(G63, ""^[^,]+""))"),"Trade and Investment Commissioner")</f>
        <v>Trade and Investment Commissioner</v>
      </c>
      <c r="C63" s="3" t="str">
        <f>IFERROR(__xludf.DUMMYFUNCTION("TRIM(REGEXREPLACE(G63, ""^[^,]+,"", """"))"),"India, NSW")</f>
        <v>India, NSW</v>
      </c>
      <c r="D63" s="4" t="str">
        <f>IFERROR(__xludf.DUMMYFUNCTION("IF(REGEXMATCH(H63, ""linkedin\.com""), H63, """")"),"https://in.linkedin.com/in/malini-dutt-99757791")</f>
        <v>https://in.linkedin.com/in/malini-dutt-99757791</v>
      </c>
      <c r="G63" s="1" t="s">
        <v>190</v>
      </c>
      <c r="H63" s="5" t="s">
        <v>191</v>
      </c>
    </row>
    <row r="64">
      <c r="A64" s="1" t="s">
        <v>192</v>
      </c>
      <c r="B64" s="3" t="str">
        <f>IFERROR(__xludf.DUMMYFUNCTION("TRIM(REGEXEXTRACT(G64, ""^[^,]+""))"),"Global Delivery Head")</f>
        <v>Global Delivery Head</v>
      </c>
      <c r="C64" s="3" t="str">
        <f>IFERROR(__xludf.DUMMYFUNCTION("TRIM(REGEXREPLACE(G64, ""^[^,]+,"", """"))"),"Publicis Sapient")</f>
        <v>Publicis Sapient</v>
      </c>
      <c r="D64" s="4" t="str">
        <f>IFERROR(__xludf.DUMMYFUNCTION("IF(REGEXMATCH(H64, ""linkedin\.com""), H64, """")"),"https://www.linkedin.com/in/shubhradeep/")</f>
        <v>https://www.linkedin.com/in/shubhradeep/</v>
      </c>
      <c r="G64" s="1" t="s">
        <v>193</v>
      </c>
      <c r="H64" s="5" t="s">
        <v>194</v>
      </c>
    </row>
    <row r="65">
      <c r="A65" s="1" t="s">
        <v>195</v>
      </c>
      <c r="B65" s="3" t="str">
        <f>IFERROR(__xludf.DUMMYFUNCTION("TRIM(REGEXEXTRACT(G65, ""^[^,]+""))"),"Co-founder &amp; COO")</f>
        <v>Co-founder &amp; COO</v>
      </c>
      <c r="C65" s="3" t="str">
        <f>IFERROR(__xludf.DUMMYFUNCTION("TRIM(REGEXREPLACE(G65, ""^[^,]+,"", """"))"),"Zetwerk")</f>
        <v>Zetwerk</v>
      </c>
      <c r="D65" s="4" t="str">
        <f>IFERROR(__xludf.DUMMYFUNCTION("IF(REGEXMATCH(H65, ""linkedin\.com""), H65, """")"),"https://linkedin.com/in/srinath-ramakkrushnan-a658629?originalSubdomain=in")</f>
        <v>https://linkedin.com/in/srinath-ramakkrushnan-a658629?originalSubdomain=in</v>
      </c>
      <c r="G65" s="1" t="s">
        <v>196</v>
      </c>
      <c r="H65" s="5" t="s">
        <v>197</v>
      </c>
    </row>
    <row r="66">
      <c r="A66" s="1" t="s">
        <v>198</v>
      </c>
      <c r="B66" s="3" t="str">
        <f>IFERROR(__xludf.DUMMYFUNCTION("TRIM(REGEXEXTRACT(G66, ""^[^,]+""))"),"Group Head")</f>
        <v>Group Head</v>
      </c>
      <c r="C66" s="3" t="str">
        <f>IFERROR(__xludf.DUMMYFUNCTION("TRIM(REGEXREPLACE(G66, ""^[^,]+,"", """"))"),"Computer and Information Systems,	BITS Pilani Work Integrated Learning Programmes")</f>
        <v>Computer and Information Systems,	BITS Pilani Work Integrated Learning Programmes</v>
      </c>
      <c r="D66" s="4" t="str">
        <f>IFERROR(__xludf.DUMMYFUNCTION("IF(REGEXMATCH(H66, ""linkedin\.com""), H66, """")"),"https://www.linkedin.com/in/nishit-narang-8a70781/?originalSubdomain=in")</f>
        <v>https://www.linkedin.com/in/nishit-narang-8a70781/?originalSubdomain=in</v>
      </c>
      <c r="G66" s="1" t="s">
        <v>199</v>
      </c>
      <c r="H66" s="5" t="s">
        <v>200</v>
      </c>
    </row>
    <row r="67">
      <c r="A67" s="1" t="s">
        <v>201</v>
      </c>
      <c r="B67" s="3" t="str">
        <f>IFERROR(__xludf.DUMMYFUNCTION("TRIM(REGEXEXTRACT(G67, ""^[^,]+""))"),"Co-founder &amp; CEO")</f>
        <v>Co-founder &amp; CEO</v>
      </c>
      <c r="C67" s="3" t="str">
        <f>IFERROR(__xludf.DUMMYFUNCTION("TRIM(REGEXREPLACE(G67, ""^[^,]+,"", """"))"),"Pocket Entertainment")</f>
        <v>Pocket Entertainment</v>
      </c>
      <c r="D67" s="4" t="str">
        <f>IFERROR(__xludf.DUMMYFUNCTION("IF(REGEXMATCH(H67, ""linkedin\.com""), H67, """")"),"https://www.linkedin.com/in/rohan-nayak/")</f>
        <v>https://www.linkedin.com/in/rohan-nayak/</v>
      </c>
      <c r="G67" s="1" t="s">
        <v>202</v>
      </c>
      <c r="H67" s="5" t="s">
        <v>203</v>
      </c>
    </row>
    <row r="68">
      <c r="A68" s="1" t="s">
        <v>204</v>
      </c>
      <c r="B68" s="3" t="str">
        <f>IFERROR(__xludf.DUMMYFUNCTION("TRIM(REGEXEXTRACT(G68, ""^[^,]+""))"),"Vice President of Customer Experience Platforms")</f>
        <v>Vice President of Customer Experience Platforms</v>
      </c>
      <c r="C68" s="3" t="str">
        <f>IFERROR(__xludf.DUMMYFUNCTION("TRIM(REGEXREPLACE(G68, ""^[^,]+,"", """"))"),"Ford Motor Company")</f>
        <v>Ford Motor Company</v>
      </c>
      <c r="D68" s="4" t="str">
        <f>IFERROR(__xludf.DUMMYFUNCTION("IF(REGEXMATCH(H68, ""linkedin\.com""), H68, """")"),"https://www.linkedin.com/in/hemant-kamatgi-0a56032/?originalSubdomain=in")</f>
        <v>https://www.linkedin.com/in/hemant-kamatgi-0a56032/?originalSubdomain=in</v>
      </c>
      <c r="G68" s="1" t="s">
        <v>205</v>
      </c>
      <c r="H68" s="5" t="s">
        <v>206</v>
      </c>
    </row>
    <row r="69">
      <c r="A69" s="1" t="s">
        <v>207</v>
      </c>
      <c r="B69" s="3" t="str">
        <f>IFERROR(__xludf.DUMMYFUNCTION("TRIM(REGEXEXTRACT(G69, ""^[^,]+""))"),"Director of AI")</f>
        <v>Director of AI</v>
      </c>
      <c r="C69" s="3" t="str">
        <f>IFERROR(__xludf.DUMMYFUNCTION("TRIM(REGEXREPLACE(G69, ""^[^,]+,"", """"))"),"Microsoft Global Black Belt, Asia")</f>
        <v>Microsoft Global Black Belt, Asia</v>
      </c>
      <c r="D69" s="4" t="str">
        <f>IFERROR(__xludf.DUMMYFUNCTION("IF(REGEXMATCH(H69, ""linkedin\.com""), H69, """")"),"https://www.linkedin.com/in/salimnaim/?originalSubdomain=au")</f>
        <v>https://www.linkedin.com/in/salimnaim/?originalSubdomain=au</v>
      </c>
      <c r="G69" s="1" t="s">
        <v>208</v>
      </c>
      <c r="H69" s="5" t="s">
        <v>209</v>
      </c>
    </row>
    <row r="70">
      <c r="A70" s="1" t="s">
        <v>210</v>
      </c>
      <c r="B70" s="3" t="str">
        <f>IFERROR(__xludf.DUMMYFUNCTION("TRIM(REGEXEXTRACT(G70, ""^[^,]+""))"),"Senior Director")</f>
        <v>Senior Director</v>
      </c>
      <c r="C70" s="3" t="str">
        <f>IFERROR(__xludf.DUMMYFUNCTION("TRIM(REGEXREPLACE(G70, ""^[^,]+,"", """"))"),"Japan-India Startup Hub, JETRO")</f>
        <v>Japan-India Startup Hub, JETRO</v>
      </c>
      <c r="D70" s="4" t="str">
        <f>IFERROR(__xludf.DUMMYFUNCTION("IF(REGEXMATCH(H70, ""linkedin\.com""), H70, """")"),"https://www.linkedin.com/in/naoto-nakadate-88b96837/?originalSubdomain=jp")</f>
        <v>https://www.linkedin.com/in/naoto-nakadate-88b96837/?originalSubdomain=jp</v>
      </c>
      <c r="G70" s="1" t="s">
        <v>211</v>
      </c>
      <c r="H70" s="5" t="s">
        <v>212</v>
      </c>
    </row>
    <row r="71">
      <c r="A71" s="1" t="s">
        <v>213</v>
      </c>
      <c r="B71" s="3" t="str">
        <f>IFERROR(__xludf.DUMMYFUNCTION("TRIM(REGEXEXTRACT(G71, ""^[^,]+""))"),"Managing Director")</f>
        <v>Managing Director</v>
      </c>
      <c r="C71" s="3" t="str">
        <f>IFERROR(__xludf.DUMMYFUNCTION("TRIM(REGEXREPLACE(G71, ""^[^,]+,"", """"))"),"Tally Solutions")</f>
        <v>Tally Solutions</v>
      </c>
      <c r="D71" s="4" t="str">
        <f>IFERROR(__xludf.DUMMYFUNCTION("IF(REGEXMATCH(H71, ""linkedin\.com""), H71, """")"),"https://www.linkedin.com/in/tejas-goenka-3ab25244/?")</f>
        <v>https://www.linkedin.com/in/tejas-goenka-3ab25244/?</v>
      </c>
      <c r="G71" s="1" t="s">
        <v>214</v>
      </c>
      <c r="H71" s="5" t="s">
        <v>215</v>
      </c>
    </row>
    <row r="72">
      <c r="A72" s="1" t="s">
        <v>216</v>
      </c>
      <c r="B72" s="3" t="str">
        <f>IFERROR(__xludf.DUMMYFUNCTION("TRIM(REGEXEXTRACT(G72, ""^[^,]+""))"),"Co-founder &amp; CPTO")</f>
        <v>Co-founder &amp; CPTO</v>
      </c>
      <c r="C72" s="3" t="str">
        <f>IFERROR(__xludf.DUMMYFUNCTION("TRIM(REGEXREPLACE(G72, ""^[^,]+,"", """"))"),"Acko")</f>
        <v>Acko</v>
      </c>
      <c r="D72" s="4" t="str">
        <f>IFERROR(__xludf.DUMMYFUNCTION("IF(REGEXMATCH(H72, ""linkedin\.com""), H72, """")"),"https://www.linkedin.com/in/vishwanath-ram-8826722/")</f>
        <v>https://www.linkedin.com/in/vishwanath-ram-8826722/</v>
      </c>
      <c r="G72" s="1" t="s">
        <v>217</v>
      </c>
      <c r="H72" s="5" t="s">
        <v>218</v>
      </c>
    </row>
    <row r="73">
      <c r="A73" s="1" t="s">
        <v>219</v>
      </c>
      <c r="B73" s="3" t="str">
        <f>IFERROR(__xludf.DUMMYFUNCTION("TRIM(REGEXEXTRACT(G73, ""^[^,]+""))"),"CTO")</f>
        <v>CTO</v>
      </c>
      <c r="C73" s="3" t="str">
        <f>IFERROR(__xludf.DUMMYFUNCTION("TRIM(REGEXREPLACE(G73, ""^[^,]+,"", """"))"),"Zepto")</f>
        <v>Zepto</v>
      </c>
      <c r="D73" s="4" t="str">
        <f>IFERROR(__xludf.DUMMYFUNCTION("IF(REGEXMATCH(H73, ""linkedin\.com""), H73, """")"),"https://www.linkedin.com/in/nikhilkmittal")</f>
        <v>https://www.linkedin.com/in/nikhilkmittal</v>
      </c>
      <c r="G73" s="1" t="s">
        <v>220</v>
      </c>
      <c r="H73" s="5" t="s">
        <v>221</v>
      </c>
    </row>
    <row r="74">
      <c r="A74" s="1" t="s">
        <v>222</v>
      </c>
      <c r="B74" s="3" t="str">
        <f>IFERROR(__xludf.DUMMYFUNCTION("TRIM(REGEXEXTRACT(G74, ""^[^,]+""))"),"CTO")</f>
        <v>CTO</v>
      </c>
      <c r="C74" s="3" t="str">
        <f>IFERROR(__xludf.DUMMYFUNCTION("TRIM(REGEXREPLACE(G74, ""^[^,]+,"", """"))"),"Publicis Sapient")</f>
        <v>Publicis Sapient</v>
      </c>
      <c r="D74" s="4" t="str">
        <f>IFERROR(__xludf.DUMMYFUNCTION("IF(REGEXMATCH(H74, ""linkedin\.com""), H74, """")"),"https://www.linkedin.com/in/rakeshravuri/")</f>
        <v>https://www.linkedin.com/in/rakeshravuri/</v>
      </c>
      <c r="G74" s="1" t="s">
        <v>223</v>
      </c>
      <c r="H74" s="5" t="s">
        <v>224</v>
      </c>
    </row>
    <row r="75">
      <c r="A75" s="1" t="s">
        <v>225</v>
      </c>
      <c r="B75" s="3" t="str">
        <f>IFERROR(__xludf.DUMMYFUNCTION("TRIM(REGEXEXTRACT(G75, ""^[^,]+""))"),"Digital Natives and Startup Leader")</f>
        <v>Digital Natives and Startup Leader</v>
      </c>
      <c r="C75" s="3" t="str">
        <f>IFERROR(__xludf.DUMMYFUNCTION("TRIM(REGEXREPLACE(G75, ""^[^,]+,"", """"))"),"Microsoft India")</f>
        <v>Microsoft India</v>
      </c>
      <c r="D75" s="4" t="str">
        <f>IFERROR(__xludf.DUMMYFUNCTION("IF(REGEXMATCH(H75, ""linkedin\.com""), H75, """")"),"https://www.linkedin.com/in/nitinmittal18/")</f>
        <v>https://www.linkedin.com/in/nitinmittal18/</v>
      </c>
      <c r="G75" s="1" t="s">
        <v>226</v>
      </c>
      <c r="H75" s="5" t="s">
        <v>227</v>
      </c>
    </row>
    <row r="76">
      <c r="A76" s="1" t="s">
        <v>228</v>
      </c>
      <c r="B76" s="3" t="str">
        <f>IFERROR(__xludf.DUMMYFUNCTION("TRIM(REGEXEXTRACT(G76, ""^[^,]+""))"),"Co-founder &amp; CEO")</f>
        <v>Co-founder &amp; CEO</v>
      </c>
      <c r="C76" s="3" t="str">
        <f>IFERROR(__xludf.DUMMYFUNCTION("TRIM(REGEXREPLACE(G76, ""^[^,]+,"", """"))"),"Hyring Inc")</f>
        <v>Hyring Inc</v>
      </c>
      <c r="D76" s="4" t="str">
        <f>IFERROR(__xludf.DUMMYFUNCTION("IF(REGEXMATCH(H76, ""linkedin\.com""), H76, """")"),"https://www.linkedin.com/in/adithyan/")</f>
        <v>https://www.linkedin.com/in/adithyan/</v>
      </c>
      <c r="G76" s="1" t="s">
        <v>229</v>
      </c>
      <c r="H76" s="5" t="s">
        <v>230</v>
      </c>
    </row>
    <row r="77">
      <c r="A77" s="1" t="s">
        <v>231</v>
      </c>
      <c r="B77" s="3" t="str">
        <f>IFERROR(__xludf.DUMMYFUNCTION("TRIM(REGEXEXTRACT(G77, ""^[^,]+""))"),"Managing Partner")</f>
        <v>Managing Partner</v>
      </c>
      <c r="C77" s="3" t="str">
        <f>IFERROR(__xludf.DUMMYFUNCTION("TRIM(REGEXREPLACE(G77, ""^[^,]+,"", """"))"),"AJVC")</f>
        <v>AJVC</v>
      </c>
      <c r="D77" s="4" t="str">
        <f>IFERROR(__xludf.DUMMYFUNCTION("IF(REGEXMATCH(H77, ""linkedin\.com""), H77, """")"),"https://www.linkedin.com/in/aviral-bhatnagar-ajuniorv")</f>
        <v>https://www.linkedin.com/in/aviral-bhatnagar-ajuniorv</v>
      </c>
      <c r="G77" s="1" t="s">
        <v>232</v>
      </c>
      <c r="H77" s="5" t="s">
        <v>233</v>
      </c>
    </row>
    <row r="78">
      <c r="A78" s="1" t="s">
        <v>234</v>
      </c>
      <c r="B78" s="3" t="str">
        <f>IFERROR(__xludf.DUMMYFUNCTION("TRIM(REGEXEXTRACT(G78, ""^[^,]+""))"),"Principal")</f>
        <v>Principal</v>
      </c>
      <c r="C78" s="3" t="str">
        <f>IFERROR(__xludf.DUMMYFUNCTION("TRIM(REGEXREPLACE(G78, ""^[^,]+,"", """"))"),"RTP Global")</f>
        <v>RTP Global</v>
      </c>
      <c r="D78" s="4" t="str">
        <f>IFERROR(__xludf.DUMMYFUNCTION("IF(REGEXMATCH(H78, ""linkedin\.com""), H78, """")"),"https://linkedin.com/in/madhur-makkar")</f>
        <v>https://linkedin.com/in/madhur-makkar</v>
      </c>
      <c r="G78" s="1" t="s">
        <v>235</v>
      </c>
      <c r="H78" s="5" t="s">
        <v>236</v>
      </c>
    </row>
    <row r="79">
      <c r="A79" s="1" t="s">
        <v>237</v>
      </c>
      <c r="B79" s="3" t="str">
        <f>IFERROR(__xludf.DUMMYFUNCTION("TRIM(REGEXEXTRACT(G79, ""^[^,]+""))"),"Regional Head")</f>
        <v>Regional Head</v>
      </c>
      <c r="C79" s="3" t="str">
        <f>IFERROR(__xludf.DUMMYFUNCTION("TRIM(REGEXREPLACE(G79, ""^[^,]+,"", """"))"),"Ava Labs")</f>
        <v>Ava Labs</v>
      </c>
      <c r="D79" s="4" t="str">
        <f>IFERROR(__xludf.DUMMYFUNCTION("IF(REGEXMATCH(H79, ""linkedin\.com""), H79, """")"),"https://www.linkedin.com/in/devikamittal/")</f>
        <v>https://www.linkedin.com/in/devikamittal/</v>
      </c>
      <c r="G79" s="1" t="s">
        <v>238</v>
      </c>
      <c r="H79" s="5" t="s">
        <v>239</v>
      </c>
    </row>
    <row r="80">
      <c r="A80" s="1" t="s">
        <v>240</v>
      </c>
      <c r="B80" s="3" t="str">
        <f>IFERROR(__xludf.DUMMYFUNCTION("TRIM(REGEXEXTRACT(G80, ""^[^,]+""))"),"Lead - Partnerships")</f>
        <v>Lead - Partnerships</v>
      </c>
      <c r="C80" s="3" t="str">
        <f>IFERROR(__xludf.DUMMYFUNCTION("TRIM(REGEXREPLACE(G80, ""^[^,]+,"", """"))"),"Business Messaging - India, Meta")</f>
        <v>Business Messaging - India, Meta</v>
      </c>
      <c r="D80" s="4" t="str">
        <f>IFERROR(__xludf.DUMMYFUNCTION("IF(REGEXMATCH(H80, ""linkedin\.com""), H80, """")"),"https://www.linkedin.com/in/rohantshyam/?originalSubdomain=in")</f>
        <v>https://www.linkedin.com/in/rohantshyam/?originalSubdomain=in</v>
      </c>
      <c r="G80" s="1" t="s">
        <v>241</v>
      </c>
      <c r="H80" s="5" t="s">
        <v>242</v>
      </c>
    </row>
    <row r="81">
      <c r="A81" s="1" t="s">
        <v>243</v>
      </c>
      <c r="B81" s="3" t="str">
        <f>IFERROR(__xludf.DUMMYFUNCTION("TRIM(REGEXEXTRACT(G81, ""^[^,]+""))"),"AI Engineering Leader")</f>
        <v>AI Engineering Leader</v>
      </c>
      <c r="C81" s="3" t="str">
        <f>IFERROR(__xludf.DUMMYFUNCTION("TRIM(REGEXREPLACE(G81, ""^[^,]+,"", """"))"),"EY GDS")</f>
        <v>EY GDS</v>
      </c>
      <c r="D81" s="4" t="str">
        <f>IFERROR(__xludf.DUMMYFUNCTION("IF(REGEXMATCH(H81, ""linkedin\.com""), H81, """")"),"https://www.linkedin.com/in/rsubodha/?originalSubdomain=in")</f>
        <v>https://www.linkedin.com/in/rsubodha/?originalSubdomain=in</v>
      </c>
      <c r="G81" s="1" t="s">
        <v>244</v>
      </c>
      <c r="H81" s="5" t="s">
        <v>245</v>
      </c>
    </row>
    <row r="82">
      <c r="A82" s="1" t="s">
        <v>246</v>
      </c>
      <c r="B82" s="3" t="str">
        <f>IFERROR(__xludf.DUMMYFUNCTION("TRIM(REGEXEXTRACT(G82, ""^[^,]+""))"),"CEO")</f>
        <v>CEO</v>
      </c>
      <c r="C82" s="3" t="str">
        <f>IFERROR(__xludf.DUMMYFUNCTION("TRIM(REGEXREPLACE(G82, ""^[^,]+,"", """"))"),"Technosport")</f>
        <v>Technosport</v>
      </c>
      <c r="D82" s="4" t="str">
        <f>IFERROR(__xludf.DUMMYFUNCTION("IF(REGEXMATCH(H82, ""linkedin\.com""), H82, """")"),"https://www.linkedin.com/in/puspen-maity-6a1b5614/?originalSubdomain=in")</f>
        <v>https://www.linkedin.com/in/puspen-maity-6a1b5614/?originalSubdomain=in</v>
      </c>
      <c r="G82" s="1" t="s">
        <v>247</v>
      </c>
      <c r="H82" s="5" t="s">
        <v>248</v>
      </c>
    </row>
    <row r="83">
      <c r="A83" s="1" t="s">
        <v>249</v>
      </c>
      <c r="B83" s="3" t="str">
        <f>IFERROR(__xludf.DUMMYFUNCTION("TRIM(REGEXEXTRACT(G83, ""^[^,]+""))"),"Founder &amp; CTO")</f>
        <v>Founder &amp; CTO</v>
      </c>
      <c r="C83" s="3" t="str">
        <f>IFERROR(__xludf.DUMMYFUNCTION("TRIM(REGEXREPLACE(G83, ""^[^,]+,"", """"))"),"Pixxel")</f>
        <v>Pixxel</v>
      </c>
      <c r="D83" s="4" t="str">
        <f>IFERROR(__xludf.DUMMYFUNCTION("IF(REGEXMATCH(H83, ""linkedin\.com""), H83, """")"),"https://in.linkedin.com/in/khandelwalkshitij")</f>
        <v>https://in.linkedin.com/in/khandelwalkshitij</v>
      </c>
      <c r="G83" s="1" t="s">
        <v>250</v>
      </c>
      <c r="H83" s="5" t="s">
        <v>251</v>
      </c>
    </row>
    <row r="84">
      <c r="A84" s="1" t="s">
        <v>252</v>
      </c>
      <c r="B84" s="3" t="str">
        <f>IFERROR(__xludf.DUMMYFUNCTION("TRIM(REGEXEXTRACT(G84, ""^[^,]+""))"),"Co-founder &amp; CEO")</f>
        <v>Co-founder &amp; CEO</v>
      </c>
      <c r="C84" s="3" t="str">
        <f>IFERROR(__xludf.DUMMYFUNCTION("TRIM(REGEXREPLACE(G84, ""^[^,]+,"", """"))"),"BrainSightAI")</f>
        <v>BrainSightAI</v>
      </c>
      <c r="D84" s="4" t="str">
        <f>IFERROR(__xludf.DUMMYFUNCTION("IF(REGEXMATCH(H84, ""linkedin\.com""), H84, """")"),"https://www.linkedin.com/in/laina-emmanuel-8a873b33?utm_source=share&amp;utm_campaign=share_via&amp;utm_content=profile&amp;utm_medium=android_app")</f>
        <v>https://www.linkedin.com/in/laina-emmanuel-8a873b33?utm_source=share&amp;utm_campaign=share_via&amp;utm_content=profile&amp;utm_medium=android_app</v>
      </c>
      <c r="G84" s="1" t="s">
        <v>253</v>
      </c>
      <c r="H84" s="5" t="s">
        <v>254</v>
      </c>
    </row>
    <row r="85">
      <c r="A85" s="1" t="s">
        <v>255</v>
      </c>
      <c r="B85" s="3" t="str">
        <f>IFERROR(__xludf.DUMMYFUNCTION("TRIM(REGEXEXTRACT(G85, ""^[^,]+""))"),"AI Service Transformation Leader")</f>
        <v>AI Service Transformation Leader</v>
      </c>
      <c r="C85" s="3" t="str">
        <f>IFERROR(__xludf.DUMMYFUNCTION("TRIM(REGEXREPLACE(G85, ""^[^,]+,"", """"))"),"EY GDS")</f>
        <v>EY GDS</v>
      </c>
      <c r="D85" s="6" t="str">
        <f>IFERROR(__xludf.DUMMYFUNCTION("IF(REGEXMATCH(H85, ""linkedin\.com""), H85, """")"),"")</f>
        <v/>
      </c>
      <c r="G85" s="1" t="s">
        <v>256</v>
      </c>
      <c r="H85" s="5" t="s">
        <v>257</v>
      </c>
    </row>
    <row r="86">
      <c r="A86" s="1" t="s">
        <v>258</v>
      </c>
      <c r="B86" s="3" t="str">
        <f>IFERROR(__xludf.DUMMYFUNCTION("TRIM(REGEXEXTRACT(G86, ""^[^,]+""))"),"Growth and Operations Lead")</f>
        <v>Growth and Operations Lead</v>
      </c>
      <c r="C86" s="3" t="str">
        <f>IFERROR(__xludf.DUMMYFUNCTION("TRIM(REGEXREPLACE(G86, ""^[^,]+,"", """"))"),"South Asia, Binance")</f>
        <v>South Asia, Binance</v>
      </c>
      <c r="D86" s="4" t="str">
        <f>IFERROR(__xludf.DUMMYFUNCTION("IF(REGEXMATCH(H86, ""linkedin\.com""), H86, """")"),"https://www.linkedin.com/in/kushalmanupati/")</f>
        <v>https://www.linkedin.com/in/kushalmanupati/</v>
      </c>
      <c r="G86" s="1" t="s">
        <v>259</v>
      </c>
      <c r="H86" s="5" t="s">
        <v>260</v>
      </c>
    </row>
    <row r="87">
      <c r="A87" s="1" t="s">
        <v>261</v>
      </c>
      <c r="B87" s="3" t="str">
        <f>IFERROR(__xludf.DUMMYFUNCTION("TRIM(REGEXEXTRACT(G87, ""^[^,]+""))"),"Founder &amp; CEO")</f>
        <v>Founder &amp; CEO</v>
      </c>
      <c r="C87" s="3" t="str">
        <f>IFERROR(__xludf.DUMMYFUNCTION("TRIM(REGEXREPLACE(G87, ""^[^,]+,"", """"))"),"QWR")</f>
        <v>QWR</v>
      </c>
      <c r="D87" s="4" t="str">
        <f>IFERROR(__xludf.DUMMYFUNCTION("IF(REGEXMATCH(H87, ""linkedin\.com""), H87, """")"),"https://www.linkedin.com/in/suraj-aiar/")</f>
        <v>https://www.linkedin.com/in/suraj-aiar/</v>
      </c>
      <c r="G87" s="1" t="s">
        <v>262</v>
      </c>
      <c r="H87" s="5" t="s">
        <v>263</v>
      </c>
    </row>
    <row r="88">
      <c r="A88" s="1" t="s">
        <v>264</v>
      </c>
      <c r="B88" s="3" t="str">
        <f>IFERROR(__xludf.DUMMYFUNCTION("TRIM(REGEXEXTRACT(G88, ""^[^,]+""))"),"CBO")</f>
        <v>CBO</v>
      </c>
      <c r="C88" s="3" t="str">
        <f>IFERROR(__xludf.DUMMYFUNCTION("TRIM(REGEXREPLACE(G88, ""^[^,]+,"", """"))"),"Sr.Vice President, Paytm")</f>
        <v>Sr.Vice President, Paytm</v>
      </c>
      <c r="D88" s="4" t="str">
        <f>IFERROR(__xludf.DUMMYFUNCTION("IF(REGEXMATCH(H88, ""linkedin\.com""), H88, """")"),"https://www.linkedin.com/in/narendrayadav/?originalSubdomain=in")</f>
        <v>https://www.linkedin.com/in/narendrayadav/?originalSubdomain=in</v>
      </c>
      <c r="G88" s="1" t="s">
        <v>265</v>
      </c>
      <c r="H88" s="5" t="s">
        <v>266</v>
      </c>
    </row>
    <row r="89">
      <c r="A89" s="1" t="s">
        <v>267</v>
      </c>
      <c r="B89" s="3" t="str">
        <f>IFERROR(__xludf.DUMMYFUNCTION("TRIM(REGEXEXTRACT(G89, ""^[^,]+""))"),"PI - BharatGen; Professor")</f>
        <v>PI - BharatGen; Professor</v>
      </c>
      <c r="C89" s="3" t="str">
        <f>IFERROR(__xludf.DUMMYFUNCTION("TRIM(REGEXREPLACE(G89, ""^[^,]+,"", """"))"),"IIT Bombay")</f>
        <v>IIT Bombay</v>
      </c>
      <c r="D89" s="6" t="str">
        <f>IFERROR(__xludf.DUMMYFUNCTION("IF(REGEXMATCH(H89, ""linkedin\.com""), H89, """")"),"")</f>
        <v/>
      </c>
      <c r="G89" s="1" t="s">
        <v>268</v>
      </c>
      <c r="H89" s="5" t="s">
        <v>269</v>
      </c>
    </row>
    <row r="90">
      <c r="A90" s="1" t="s">
        <v>270</v>
      </c>
      <c r="B90" s="3" t="str">
        <f>IFERROR(__xludf.DUMMYFUNCTION("TRIM(REGEXEXTRACT(G90, ""^[^,]+""))"),"Co-founder &amp; President")</f>
        <v>Co-founder &amp; President</v>
      </c>
      <c r="C90" s="3" t="str">
        <f>IFERROR(__xludf.DUMMYFUNCTION("TRIM(REGEXREPLACE(G90, ""^[^,]+,"", """"))"),"DevRev")</f>
        <v>DevRev</v>
      </c>
      <c r="D90" s="4" t="str">
        <f>IFERROR(__xludf.DUMMYFUNCTION("IF(REGEXMATCH(H90, ""linkedin\.com""), H90, """")"),"https://www.linkedin.com/in/devreveler/")</f>
        <v>https://www.linkedin.com/in/devreveler/</v>
      </c>
      <c r="G90" s="1" t="s">
        <v>271</v>
      </c>
      <c r="H90" s="5" t="s">
        <v>272</v>
      </c>
    </row>
    <row r="91">
      <c r="A91" s="1" t="s">
        <v>273</v>
      </c>
      <c r="B91" s="3" t="str">
        <f>IFERROR(__xludf.DUMMYFUNCTION("TRIM(REGEXEXTRACT(G91, ""^[^,]+""))"),"Founder")</f>
        <v>Founder</v>
      </c>
      <c r="C91" s="3" t="str">
        <f>IFERROR(__xludf.DUMMYFUNCTION("TRIM(REGEXREPLACE(G91, ""^[^,]+,"", """"))"),"DPDzero")</f>
        <v>DPDzero</v>
      </c>
      <c r="D91" s="4" t="str">
        <f>IFERROR(__xludf.DUMMYFUNCTION("IF(REGEXMATCH(H91, ""linkedin\.com""), H91, """")"),"https://linkedin.com/in/ananth-shroff-71631a61?")</f>
        <v>https://linkedin.com/in/ananth-shroff-71631a61?</v>
      </c>
      <c r="G91" s="1" t="s">
        <v>274</v>
      </c>
      <c r="H91" s="5" t="s">
        <v>275</v>
      </c>
    </row>
    <row r="92">
      <c r="A92" s="1" t="s">
        <v>276</v>
      </c>
      <c r="B92" s="3" t="str">
        <f>IFERROR(__xludf.DUMMYFUNCTION("TRIM(REGEXEXTRACT(G92, ""^[^,]+""))"),"Partner")</f>
        <v>Partner</v>
      </c>
      <c r="C92" s="3" t="str">
        <f>IFERROR(__xludf.DUMMYFUNCTION("TRIM(REGEXREPLACE(G92, ""^[^,]+,"", """"))"),"Bessemer Venture Partners")</f>
        <v>Bessemer Venture Partners</v>
      </c>
      <c r="D92" s="4" t="str">
        <f>IFERROR(__xludf.DUMMYFUNCTION("IF(REGEXMATCH(H92, ""linkedin\.com""), H92, """")"),"https://www.linkedin.com/in/pankajmitra/")</f>
        <v>https://www.linkedin.com/in/pankajmitra/</v>
      </c>
      <c r="G92" s="1" t="s">
        <v>277</v>
      </c>
      <c r="H92" s="5" t="s">
        <v>278</v>
      </c>
    </row>
    <row r="93">
      <c r="A93" s="1" t="s">
        <v>279</v>
      </c>
      <c r="B93" s="3" t="str">
        <f>IFERROR(__xludf.DUMMYFUNCTION("TRIM(REGEXEXTRACT(G93, ""^[^,]+""))"),"Director/Head of Sony Ventures India")</f>
        <v>Director/Head of Sony Ventures India</v>
      </c>
      <c r="C93" s="3" t="str">
        <f>IFERROR(__xludf.DUMMYFUNCTION("TRIM(REGEXREPLACE(G93, ""^[^,]+,"", """"))"),"Sony Ventures Corporation")</f>
        <v>Sony Ventures Corporation</v>
      </c>
      <c r="D93" s="4" t="str">
        <f>IFERROR(__xludf.DUMMYFUNCTION("IF(REGEXMATCH(H93, ""linkedin\.com""), H93, """")"),"https://www.linkedin.com/in/yoko-fukata-94633a173/")</f>
        <v>https://www.linkedin.com/in/yoko-fukata-94633a173/</v>
      </c>
      <c r="G93" s="1" t="s">
        <v>280</v>
      </c>
      <c r="H93" s="5" t="s">
        <v>281</v>
      </c>
    </row>
    <row r="94">
      <c r="A94" s="1" t="s">
        <v>282</v>
      </c>
      <c r="B94" s="3" t="str">
        <f>IFERROR(__xludf.DUMMYFUNCTION("TRIM(REGEXEXTRACT(G94, ""^[^,]+""))"),"Corporate Vice President - Global Enterprise Sales")</f>
        <v>Corporate Vice President - Global Enterprise Sales</v>
      </c>
      <c r="C94" s="3" t="str">
        <f>IFERROR(__xludf.DUMMYFUNCTION("TRIM(REGEXREPLACE(G94, ""^[^,]+,"", """"))"),"Microsoft")</f>
        <v>Microsoft</v>
      </c>
      <c r="D94" s="4" t="str">
        <f>IFERROR(__xludf.DUMMYFUNCTION("IF(REGEXMATCH(H94, ""linkedin\.com""), H94, """")"),"https://www.linkedin.com/in/kevsco/")</f>
        <v>https://www.linkedin.com/in/kevsco/</v>
      </c>
      <c r="G94" s="1" t="s">
        <v>283</v>
      </c>
      <c r="H94" s="5" t="s">
        <v>284</v>
      </c>
    </row>
    <row r="95">
      <c r="A95" s="1" t="s">
        <v>285</v>
      </c>
      <c r="B95" s="3" t="str">
        <f>IFERROR(__xludf.DUMMYFUNCTION("TRIM(REGEXEXTRACT(G95, ""^[^,]+""))"),"Co-founder &amp; CEO")</f>
        <v>Co-founder &amp; CEO</v>
      </c>
      <c r="C95" s="3" t="str">
        <f>IFERROR(__xludf.DUMMYFUNCTION("TRIM(REGEXREPLACE(G95, ""^[^,]+,"", """"))"),"Plum")</f>
        <v>Plum</v>
      </c>
      <c r="D95" s="4" t="str">
        <f>IFERROR(__xludf.DUMMYFUNCTION("IF(REGEXMATCH(H95, ""linkedin\.com""), H95, """")"),"https://www.linkedin.com/in/abhishek24")</f>
        <v>https://www.linkedin.com/in/abhishek24</v>
      </c>
      <c r="G95" s="1" t="s">
        <v>286</v>
      </c>
      <c r="H95" s="5" t="s">
        <v>287</v>
      </c>
    </row>
    <row r="96">
      <c r="A96" s="1" t="s">
        <v>288</v>
      </c>
      <c r="B96" s="3" t="str">
        <f>IFERROR(__xludf.DUMMYFUNCTION("TRIM(REGEXEXTRACT(G96, ""^[^,]+""))"),"Co-founder")</f>
        <v>Co-founder</v>
      </c>
      <c r="C96" s="3" t="str">
        <f>IFERROR(__xludf.DUMMYFUNCTION("TRIM(REGEXREPLACE(G96, ""^[^,]+,"", """"))"),"Devnagri AI")</f>
        <v>Devnagri AI</v>
      </c>
      <c r="D96" s="4" t="str">
        <f>IFERROR(__xludf.DUMMYFUNCTION("IF(REGEXMATCH(H96, ""linkedin\.com""), H96, """")"),"https://www.linkedin.com/in/kundra-nakul/?originalSubdomain=in")</f>
        <v>https://www.linkedin.com/in/kundra-nakul/?originalSubdomain=in</v>
      </c>
      <c r="G96" s="1" t="s">
        <v>289</v>
      </c>
      <c r="H96" s="5" t="s">
        <v>290</v>
      </c>
    </row>
    <row r="97">
      <c r="A97" s="1" t="s">
        <v>291</v>
      </c>
      <c r="B97" s="3" t="str">
        <f>IFERROR(__xludf.DUMMYFUNCTION("TRIM(REGEXEXTRACT(G97, ""^[^,]+""))"),"COO")</f>
        <v>COO</v>
      </c>
      <c r="C97" s="3" t="str">
        <f>IFERROR(__xludf.DUMMYFUNCTION("TRIM(REGEXREPLACE(G97, ""^[^,]+,"", """"))"),"Teleradiology Solutions (TRS)")</f>
        <v>Teleradiology Solutions (TRS)</v>
      </c>
      <c r="D97" s="4" t="str">
        <f>IFERROR(__xludf.DUMMYFUNCTION("IF(REGEXMATCH(H97, ""linkedin\.com""), H97, """")"),"https://www.linkedin.com/in/balagorthi/")</f>
        <v>https://www.linkedin.com/in/balagorthi/</v>
      </c>
      <c r="G97" s="1" t="s">
        <v>292</v>
      </c>
      <c r="H97" s="5" t="s">
        <v>293</v>
      </c>
    </row>
    <row r="98">
      <c r="A98" s="1" t="s">
        <v>294</v>
      </c>
      <c r="B98" s="3" t="str">
        <f>IFERROR(__xludf.DUMMYFUNCTION("TRIM(REGEXEXTRACT(G98, ""^[^,]+""))"),"Co-founder &amp; CTO")</f>
        <v>Co-founder &amp; CTO</v>
      </c>
      <c r="C98" s="3" t="str">
        <f>IFERROR(__xludf.DUMMYFUNCTION("TRIM(REGEXREPLACE(G98, ""^[^,]+,"", """"))"),"WorkIndia")</f>
        <v>WorkIndia</v>
      </c>
      <c r="D98" s="4" t="str">
        <f>IFERROR(__xludf.DUMMYFUNCTION("IF(REGEXMATCH(H98, ""linkedin\.com""), H98, """")"),"https://www.linkedin.com/in/moiz-arsiwala-8a990032/")</f>
        <v>https://www.linkedin.com/in/moiz-arsiwala-8a990032/</v>
      </c>
      <c r="G98" s="1" t="s">
        <v>295</v>
      </c>
      <c r="H98" s="5" t="s">
        <v>296</v>
      </c>
    </row>
    <row r="99">
      <c r="A99" s="1" t="s">
        <v>297</v>
      </c>
      <c r="B99" s="3" t="str">
        <f>IFERROR(__xludf.DUMMYFUNCTION("TRIM(REGEXEXTRACT(G99, ""^[^,]+""))"),"Co-founder")</f>
        <v>Co-founder</v>
      </c>
      <c r="C99" s="3" t="str">
        <f>IFERROR(__xludf.DUMMYFUNCTION("TRIM(REGEXREPLACE(G99, ""^[^,]+,"", """"))"),"Jivi AI")</f>
        <v>Jivi AI</v>
      </c>
      <c r="D99" s="4" t="str">
        <f>IFERROR(__xludf.DUMMYFUNCTION("IF(REGEXMATCH(H99, ""linkedin\.com""), H99, """")"),"https://www.linkedin.com/in/ankjain")</f>
        <v>https://www.linkedin.com/in/ankjain</v>
      </c>
      <c r="G99" s="1" t="s">
        <v>298</v>
      </c>
      <c r="H99" s="5" t="s">
        <v>299</v>
      </c>
    </row>
    <row r="100">
      <c r="A100" s="1" t="s">
        <v>300</v>
      </c>
      <c r="B100" s="3" t="str">
        <f>IFERROR(__xludf.DUMMYFUNCTION("TRIM(REGEXEXTRACT(G100, ""^[^,]+""))"),"CTO")</f>
        <v>CTO</v>
      </c>
      <c r="C100" s="3" t="str">
        <f>IFERROR(__xludf.DUMMYFUNCTION("TRIM(REGEXREPLACE(G100, ""^[^,]+,"", """"))"),"Yubi")</f>
        <v>Yubi</v>
      </c>
      <c r="D100" s="4" t="str">
        <f>IFERROR(__xludf.DUMMYFUNCTION("IF(REGEXMATCH(H100, ""linkedin\.com""), H100, """")"),"https://www.linkedin.com/in/bharatkrishnamurthy/?originalSubdomain=in")</f>
        <v>https://www.linkedin.com/in/bharatkrishnamurthy/?originalSubdomain=in</v>
      </c>
      <c r="G100" s="1" t="s">
        <v>301</v>
      </c>
      <c r="H100" s="5" t="s">
        <v>302</v>
      </c>
    </row>
    <row r="101">
      <c r="A101" s="1" t="s">
        <v>303</v>
      </c>
      <c r="B101" s="3" t="str">
        <f>IFERROR(__xludf.DUMMYFUNCTION("TRIM(REGEXEXTRACT(G101, ""^[^,]+""))"),"Founder &amp; CEO")</f>
        <v>Founder &amp; CEO</v>
      </c>
      <c r="C101" s="7" t="str">
        <f>IFERROR(__xludf.DUMMYFUNCTION("TRIM(REGEXREPLACE(G101, ""^[^,]+,"", """"))"),"CoRover.ai")</f>
        <v>CoRover.ai</v>
      </c>
      <c r="D101" s="4" t="str">
        <f>IFERROR(__xludf.DUMMYFUNCTION("IF(REGEXMATCH(H101, ""linkedin\.com""), H101, """")"),"https://www.linkedin.com/in/ankushsabharwal?")</f>
        <v>https://www.linkedin.com/in/ankushsabharwal?</v>
      </c>
      <c r="G101" s="1" t="s">
        <v>304</v>
      </c>
      <c r="H101" s="5" t="s">
        <v>305</v>
      </c>
    </row>
    <row r="102">
      <c r="A102" s="1" t="s">
        <v>306</v>
      </c>
      <c r="B102" s="3" t="str">
        <f>IFERROR(__xludf.DUMMYFUNCTION("TRIM(REGEXEXTRACT(G102, ""^[^,]+""))"),"Co-founder &amp; CTO")</f>
        <v>Co-founder &amp; CTO</v>
      </c>
      <c r="C102" s="7" t="str">
        <f>IFERROR(__xludf.DUMMYFUNCTION("TRIM(REGEXREPLACE(G102, ""^[^,]+,"", """"))"),"Beatoven.ai")</f>
        <v>Beatoven.ai</v>
      </c>
      <c r="D102" s="4" t="str">
        <f>IFERROR(__xludf.DUMMYFUNCTION("IF(REGEXMATCH(H102, ""linkedin\.com""), H102, """")"),"https://www.linkedin.com/in/sid0710?")</f>
        <v>https://www.linkedin.com/in/sid0710?</v>
      </c>
      <c r="G102" s="1" t="s">
        <v>307</v>
      </c>
      <c r="H102" s="5" t="s">
        <v>308</v>
      </c>
    </row>
    <row r="103">
      <c r="A103" s="1" t="s">
        <v>309</v>
      </c>
      <c r="B103" s="3" t="str">
        <f>IFERROR(__xludf.DUMMYFUNCTION("TRIM(REGEXEXTRACT(G103, ""^[^,]+""))"),"Principal")</f>
        <v>Principal</v>
      </c>
      <c r="C103" s="3" t="str">
        <f>IFERROR(__xludf.DUMMYFUNCTION("TRIM(REGEXREPLACE(G103, ""^[^,]+,"", """"))"),"Bertelsmann India Investments")</f>
        <v>Bertelsmann India Investments</v>
      </c>
      <c r="D103" s="4" t="str">
        <f>IFERROR(__xludf.DUMMYFUNCTION("IF(REGEXMATCH(H103, ""linkedin\.com""), H103, """")"),"https://www.linkedin.com/in/swatimurarka/")</f>
        <v>https://www.linkedin.com/in/swatimurarka/</v>
      </c>
      <c r="G103" s="1" t="s">
        <v>310</v>
      </c>
      <c r="H103" s="5" t="s">
        <v>311</v>
      </c>
    </row>
    <row r="104">
      <c r="A104" s="1" t="s">
        <v>312</v>
      </c>
      <c r="B104" s="3" t="str">
        <f>IFERROR(__xludf.DUMMYFUNCTION("TRIM(REGEXEXTRACT(G104, ""^[^,]+""))"),"CTO")</f>
        <v>CTO</v>
      </c>
      <c r="C104" s="3" t="str">
        <f>IFERROR(__xludf.DUMMYFUNCTION("TRIM(REGEXREPLACE(G104, ""^[^,]+,"", """"))"),"Pocket Entertainment")</f>
        <v>Pocket Entertainment</v>
      </c>
      <c r="D104" s="4" t="str">
        <f>IFERROR(__xludf.DUMMYFUNCTION("IF(REGEXMATCH(H104, ""linkedin\.com""), H104, """")"),"https://www.linkedin.com/in/umesh-bude/")</f>
        <v>https://www.linkedin.com/in/umesh-bude/</v>
      </c>
      <c r="G104" s="1" t="s">
        <v>313</v>
      </c>
      <c r="H104" s="5" t="s">
        <v>314</v>
      </c>
    </row>
    <row r="105">
      <c r="A105" s="1" t="s">
        <v>123</v>
      </c>
      <c r="B105" s="3" t="str">
        <f>IFERROR(__xludf.DUMMYFUNCTION("TRIM(REGEXEXTRACT(G105, ""^[^,]+""))"),"Partner")</f>
        <v>Partner</v>
      </c>
      <c r="C105" s="3" t="str">
        <f>IFERROR(__xludf.DUMMYFUNCTION("TRIM(REGEXREPLACE(G105, ""^[^,]+,"", """"))"),"Bessemer Venture Partners")</f>
        <v>Bessemer Venture Partners</v>
      </c>
      <c r="D105" s="4" t="str">
        <f>IFERROR(__xludf.DUMMYFUNCTION("IF(REGEXMATCH(H105, ""linkedin\.com""), H105, """")"),"https://www.linkedin.com/in/vishalguptabvp/")</f>
        <v>https://www.linkedin.com/in/vishalguptabvp/</v>
      </c>
      <c r="G105" s="1" t="s">
        <v>277</v>
      </c>
      <c r="H105" s="5" t="s">
        <v>315</v>
      </c>
    </row>
    <row r="106">
      <c r="A106" s="1" t="s">
        <v>316</v>
      </c>
      <c r="B106" s="3" t="str">
        <f>IFERROR(__xludf.DUMMYFUNCTION("TRIM(REGEXEXTRACT(G106, ""^[^,]+""))"),"Co-founder")</f>
        <v>Co-founder</v>
      </c>
      <c r="C106" s="3" t="str">
        <f>IFERROR(__xludf.DUMMYFUNCTION("TRIM(REGEXREPLACE(G106, ""^[^,]+,"", """"))"),"86400")</f>
        <v>86400</v>
      </c>
      <c r="D106" s="4" t="str">
        <f>IFERROR(__xludf.DUMMYFUNCTION("IF(REGEXMATCH(H106, ""linkedin\.com""), H106, """")"),"https://in.linkedin.com/in/satyajitkanekar")</f>
        <v>https://in.linkedin.com/in/satyajitkanekar</v>
      </c>
      <c r="G106" s="1" t="s">
        <v>317</v>
      </c>
      <c r="H106" s="5" t="s">
        <v>318</v>
      </c>
    </row>
    <row r="107">
      <c r="A107" s="1" t="s">
        <v>319</v>
      </c>
      <c r="B107" s="3" t="str">
        <f>IFERROR(__xludf.DUMMYFUNCTION("TRIM(REGEXEXTRACT(G107, ""^[^,]+""))"),"Co-founder")</f>
        <v>Co-founder</v>
      </c>
      <c r="C107" s="3" t="str">
        <f>IFERROR(__xludf.DUMMYFUNCTION("TRIM(REGEXREPLACE(G107, ""^[^,]+,"", """"))"),"Dezerv")</f>
        <v>Dezerv</v>
      </c>
      <c r="D107" s="4" t="str">
        <f>IFERROR(__xludf.DUMMYFUNCTION("IF(REGEXMATCH(H107, ""linkedin\.com""), H107, """")"),"https://www.linkedin.com/in/sandeepjethwani")</f>
        <v>https://www.linkedin.com/in/sandeepjethwani</v>
      </c>
      <c r="G107" s="1" t="s">
        <v>320</v>
      </c>
      <c r="H107" s="5" t="s">
        <v>321</v>
      </c>
    </row>
    <row r="108">
      <c r="A108" s="1" t="s">
        <v>322</v>
      </c>
      <c r="B108" s="3" t="str">
        <f>IFERROR(__xludf.DUMMYFUNCTION("TRIM(REGEXEXTRACT(G108, ""^[^,]+""))"),"Head of Marketing")</f>
        <v>Head of Marketing</v>
      </c>
      <c r="C108" s="3" t="str">
        <f>IFERROR(__xludf.DUMMYFUNCTION("TRIM(REGEXREPLACE(G108, ""^[^,]+,"", """"))"),"NextGen Cloud Technologies")</f>
        <v>NextGen Cloud Technologies</v>
      </c>
      <c r="D108" s="4" t="str">
        <f>IFERROR(__xludf.DUMMYFUNCTION("IF(REGEXMATCH(H108, ""linkedin\.com""), H108, """")"),"https://www.linkedin.com/in/jollydeep?originalSubdomain=in")</f>
        <v>https://www.linkedin.com/in/jollydeep?originalSubdomain=in</v>
      </c>
      <c r="G108" s="1" t="s">
        <v>323</v>
      </c>
      <c r="H108" s="5" t="s">
        <v>324</v>
      </c>
    </row>
    <row r="109">
      <c r="A109" s="1" t="s">
        <v>325</v>
      </c>
      <c r="B109" s="3" t="str">
        <f>IFERROR(__xludf.DUMMYFUNCTION("TRIM(REGEXEXTRACT(G109, ""^[^,]+""))"),"Partner")</f>
        <v>Partner</v>
      </c>
      <c r="C109" s="3" t="str">
        <f>IFERROR(__xludf.DUMMYFUNCTION("TRIM(REGEXREPLACE(G109, ""^[^,]+,"", """"))"),"Lightspeed India")</f>
        <v>Lightspeed India</v>
      </c>
      <c r="D109" s="4" t="str">
        <f>IFERROR(__xludf.DUMMYFUNCTION("IF(REGEXMATCH(H109, ""linkedin\.com""), H109, """")"),"https://www.linkedin.com/in/hemantmohapatra/?originalSubdomain=in")</f>
        <v>https://www.linkedin.com/in/hemantmohapatra/?originalSubdomain=in</v>
      </c>
      <c r="G109" s="1" t="s">
        <v>326</v>
      </c>
      <c r="H109" s="5" t="s">
        <v>327</v>
      </c>
    </row>
    <row r="110">
      <c r="A110" s="1" t="s">
        <v>328</v>
      </c>
      <c r="B110" s="3" t="str">
        <f>IFERROR(__xludf.DUMMYFUNCTION("TRIM(REGEXEXTRACT(G110, ""^[^,]+""))"),"Founder")</f>
        <v>Founder</v>
      </c>
      <c r="C110" s="3" t="str">
        <f>IFERROR(__xludf.DUMMYFUNCTION("TRIM(REGEXREPLACE(G110, ""^[^,]+,"", """"))"),"Writesonic")</f>
        <v>Writesonic</v>
      </c>
      <c r="D110" s="4" t="str">
        <f>IFERROR(__xludf.DUMMYFUNCTION("IF(REGEXMATCH(H110, ""linkedin\.com""), H110, """")"),"https://www.linkedin.com/in/samanyougarg")</f>
        <v>https://www.linkedin.com/in/samanyougarg</v>
      </c>
      <c r="G110" s="1" t="s">
        <v>329</v>
      </c>
      <c r="H110" s="5" t="s">
        <v>330</v>
      </c>
    </row>
    <row r="111">
      <c r="A111" s="1" t="s">
        <v>331</v>
      </c>
      <c r="B111" s="3" t="str">
        <f>IFERROR(__xludf.DUMMYFUNCTION("TRIM(REGEXEXTRACT(G111, ""^[^,]+""))"),"Co-founder &amp; CEO")</f>
        <v>Co-founder &amp; CEO</v>
      </c>
      <c r="C111" s="3" t="str">
        <f>IFERROR(__xludf.DUMMYFUNCTION("TRIM(REGEXREPLACE(G111, ""^[^,]+,"", """"))"),"Whatfix")</f>
        <v>Whatfix</v>
      </c>
      <c r="D111" s="4" t="str">
        <f>IFERROR(__xludf.DUMMYFUNCTION("IF(REGEXMATCH(H111, ""linkedin\.com""), H111, """")"),"https://www.linkedin.com/in/khadim/")</f>
        <v>https://www.linkedin.com/in/khadim/</v>
      </c>
      <c r="G111" s="1" t="s">
        <v>332</v>
      </c>
      <c r="H111" s="5" t="s">
        <v>333</v>
      </c>
    </row>
    <row r="112">
      <c r="A112" s="1" t="s">
        <v>334</v>
      </c>
      <c r="B112" s="3" t="str">
        <f>IFERROR(__xludf.DUMMYFUNCTION("TRIM(REGEXEXTRACT(G112, ""^[^,]+""))"),"Co-founder &amp; Global CEO")</f>
        <v>Co-founder &amp; Global CEO</v>
      </c>
      <c r="C112" s="3" t="str">
        <f>IFERROR(__xludf.DUMMYFUNCTION("TRIM(REGEXREPLACE(G112, ""^[^,]+,"", """"))"),"Cloudphysician")</f>
        <v>Cloudphysician</v>
      </c>
      <c r="D112" s="4" t="str">
        <f>IFERROR(__xludf.DUMMYFUNCTION("IF(REGEXMATCH(H112, ""linkedin\.com""), H112, """")"),"https://www.linkedin.com/in/dhruv-joshi-17787a94")</f>
        <v>https://www.linkedin.com/in/dhruv-joshi-17787a94</v>
      </c>
      <c r="G112" s="1" t="s">
        <v>335</v>
      </c>
      <c r="H112" s="5" t="s">
        <v>336</v>
      </c>
    </row>
    <row r="113">
      <c r="A113" s="1" t="s">
        <v>337</v>
      </c>
      <c r="B113" s="3" t="str">
        <f>IFERROR(__xludf.DUMMYFUNCTION("TRIM(REGEXEXTRACT(G113, ""^[^,]+""))"),"Co-founder &amp; CTO")</f>
        <v>Co-founder &amp; CTO</v>
      </c>
      <c r="C113" s="3" t="str">
        <f>IFERROR(__xludf.DUMMYFUNCTION("TRIM(REGEXREPLACE(G113, ""^[^,]+,"", """"))"),"E2E Networks Limited")</f>
        <v>E2E Networks Limited</v>
      </c>
      <c r="D113" s="4" t="str">
        <f>IFERROR(__xludf.DUMMYFUNCTION("IF(REGEXMATCH(H113, ""linkedin\.com""), H113, """")"),"https://www.linkedin.com/in/mohamed-imran-k-r-b115157/")</f>
        <v>https://www.linkedin.com/in/mohamed-imran-k-r-b115157/</v>
      </c>
      <c r="G113" s="1" t="s">
        <v>338</v>
      </c>
      <c r="H113" s="5" t="s">
        <v>339</v>
      </c>
    </row>
    <row r="114">
      <c r="A114" s="1" t="s">
        <v>340</v>
      </c>
      <c r="B114" s="3" t="str">
        <f>IFERROR(__xludf.DUMMYFUNCTION("TRIM(REGEXEXTRACT(G114, ""^[^,]+""))"),"Co-founder &amp; CEO")</f>
        <v>Co-founder &amp; CEO</v>
      </c>
      <c r="C114" s="3" t="str">
        <f>IFERROR(__xludf.DUMMYFUNCTION("TRIM(REGEXREPLACE(G114, ""^[^,]+,"", """"))"),"Inito")</f>
        <v>Inito</v>
      </c>
      <c r="D114" s="4" t="str">
        <f>IFERROR(__xludf.DUMMYFUNCTION("IF(REGEXMATCH(H114, ""linkedin\.com""), H114, """")"),"https://www.linkedin.com/in/aayushinito/?originalSubdomain=in")</f>
        <v>https://www.linkedin.com/in/aayushinito/?originalSubdomain=in</v>
      </c>
      <c r="G114" s="1" t="s">
        <v>341</v>
      </c>
      <c r="H114" s="5" t="s">
        <v>342</v>
      </c>
    </row>
    <row r="115">
      <c r="A115" s="1" t="s">
        <v>343</v>
      </c>
      <c r="B115" s="3" t="str">
        <f>IFERROR(__xludf.DUMMYFUNCTION("TRIM(REGEXEXTRACT(G115, ""^[^,]+""))"),"Area Vice President - India &amp; SAARC")</f>
        <v>Area Vice President - India &amp; SAARC</v>
      </c>
      <c r="C115" s="3" t="str">
        <f>IFERROR(__xludf.DUMMYFUNCTION("TRIM(REGEXREPLACE(G115, ""^[^,]+,"", """"))"),"Commvault")</f>
        <v>Commvault</v>
      </c>
      <c r="D115" s="6" t="str">
        <f>IFERROR(__xludf.DUMMYFUNCTION("IF(REGEXMATCH(H115, ""linkedin\.com""), H115, """")"),"")</f>
        <v/>
      </c>
      <c r="G115" s="1" t="s">
        <v>344</v>
      </c>
      <c r="H115" s="5" t="s">
        <v>43</v>
      </c>
    </row>
    <row r="116">
      <c r="A116" s="1" t="s">
        <v>345</v>
      </c>
      <c r="B116" s="3" t="str">
        <f>IFERROR(__xludf.DUMMYFUNCTION("TRIM(REGEXEXTRACT(G116, ""^[^,]+""))"),"Founder &amp; CEO")</f>
        <v>Founder &amp; CEO</v>
      </c>
      <c r="C116" s="3" t="str">
        <f>IFERROR(__xludf.DUMMYFUNCTION("TRIM(REGEXREPLACE(G116, ""^[^,]+,"", """"))"),"Brainwired")</f>
        <v>Brainwired</v>
      </c>
      <c r="D116" s="4" t="str">
        <f>IFERROR(__xludf.DUMMYFUNCTION("IF(REGEXMATCH(H116, ""linkedin\.com""), H116, """")"),"https://www.linkedin.com/in/sreeshankar-nair-6b1414144/?originalSubdomain=in")</f>
        <v>https://www.linkedin.com/in/sreeshankar-nair-6b1414144/?originalSubdomain=in</v>
      </c>
      <c r="G116" s="1" t="s">
        <v>346</v>
      </c>
      <c r="H116" s="5" t="s">
        <v>347</v>
      </c>
    </row>
    <row r="117">
      <c r="A117" s="1" t="s">
        <v>348</v>
      </c>
      <c r="B117" s="3" t="str">
        <f>IFERROR(__xludf.DUMMYFUNCTION("TRIM(REGEXEXTRACT(G117, ""^[^,]+""))"),"Director of Technology")</f>
        <v>Director of Technology</v>
      </c>
      <c r="C117" s="3" t="str">
        <f>IFERROR(__xludf.DUMMYFUNCTION("TRIM(REGEXREPLACE(G117, ""^[^,]+,"", """"))"),"Zoho Corp.")</f>
        <v>Zoho Corp.</v>
      </c>
      <c r="D117" s="4" t="str">
        <f>IFERROR(__xludf.DUMMYFUNCTION("IF(REGEXMATCH(H117, ""linkedin\.com""), H117, """")"),"https://www.linkedin.com/in/rajendran/")</f>
        <v>https://www.linkedin.com/in/rajendran/</v>
      </c>
      <c r="G117" s="1" t="s">
        <v>349</v>
      </c>
      <c r="H117" s="5" t="s">
        <v>350</v>
      </c>
    </row>
    <row r="118">
      <c r="A118" s="1" t="s">
        <v>351</v>
      </c>
      <c r="B118" s="3" t="str">
        <f>IFERROR(__xludf.DUMMYFUNCTION("TRIM(REGEXEXTRACT(G118, ""^[^,]+""))"),"Head of KTH Innovation &amp; CEO")</f>
        <v>Head of KTH Innovation &amp; CEO</v>
      </c>
      <c r="C118" s="3" t="str">
        <f>IFERROR(__xludf.DUMMYFUNCTION("TRIM(REGEXREPLACE(G118, ""^[^,]+,"", """"))"),"KTH Ventures")</f>
        <v>KTH Ventures</v>
      </c>
      <c r="D118" s="4" t="str">
        <f>IFERROR(__xludf.DUMMYFUNCTION("IF(REGEXMATCH(H118, ""linkedin\.com""), H118, """")"),"https://www.linkedin.com/in/lisa-ericsson-aa27a9/")</f>
        <v>https://www.linkedin.com/in/lisa-ericsson-aa27a9/</v>
      </c>
      <c r="G118" s="1" t="s">
        <v>352</v>
      </c>
      <c r="H118" s="5" t="s">
        <v>353</v>
      </c>
    </row>
    <row r="119">
      <c r="A119" s="1" t="s">
        <v>354</v>
      </c>
      <c r="B119" s="3" t="str">
        <f>IFERROR(__xludf.DUMMYFUNCTION("TRIM(REGEXEXTRACT(G119, ""^[^,]+""))"),"Co-founder &amp; CEO")</f>
        <v>Co-founder &amp; CEO</v>
      </c>
      <c r="C119" s="3" t="str">
        <f>IFERROR(__xludf.DUMMYFUNCTION("TRIM(REGEXREPLACE(G119, ""^[^,]+,"", """"))"),"CronAI")</f>
        <v>CronAI</v>
      </c>
      <c r="D119" s="4" t="str">
        <f>IFERROR(__xludf.DUMMYFUNCTION("IF(REGEXMATCH(H119, ""linkedin\.com""), H119, """")"),"https://linkedin.com/in/tushar-chhabra-739b1929?originalSubdomain=uk")</f>
        <v>https://linkedin.com/in/tushar-chhabra-739b1929?originalSubdomain=uk</v>
      </c>
      <c r="G119" s="1" t="s">
        <v>355</v>
      </c>
      <c r="H119" s="5" t="s">
        <v>356</v>
      </c>
    </row>
    <row r="120">
      <c r="A120" s="1" t="s">
        <v>357</v>
      </c>
      <c r="B120" s="3" t="str">
        <f>IFERROR(__xludf.DUMMYFUNCTION("TRIM(REGEXEXTRACT(G120, ""^[^,]+""))"),"AI Solutions Architect")</f>
        <v>AI Solutions Architect</v>
      </c>
      <c r="C120" s="3" t="str">
        <f>IFERROR(__xludf.DUMMYFUNCTION("TRIM(REGEXREPLACE(G120, ""^[^,]+,"", """"))"),"Groq")</f>
        <v>Groq</v>
      </c>
      <c r="D120" s="4" t="str">
        <f>IFERROR(__xludf.DUMMYFUNCTION("IF(REGEXMATCH(H120, ""linkedin\.com""), H120, """")"),"https://www.linkedin.com/in/djb4ai/?originalSubdomain=in")</f>
        <v>https://www.linkedin.com/in/djb4ai/?originalSubdomain=in</v>
      </c>
      <c r="G120" s="1" t="s">
        <v>358</v>
      </c>
      <c r="H120" s="5" t="s">
        <v>359</v>
      </c>
    </row>
    <row r="121">
      <c r="A121" s="1" t="s">
        <v>360</v>
      </c>
      <c r="B121" s="3" t="str">
        <f>IFERROR(__xludf.DUMMYFUNCTION("TRIM(REGEXEXTRACT(G121, ""^[^,]+""))"),"Senior Director Of Engineering")</f>
        <v>Senior Director Of Engineering</v>
      </c>
      <c r="C121" s="3" t="str">
        <f>IFERROR(__xludf.DUMMYFUNCTION("TRIM(REGEXREPLACE(G121, ""^[^,]+,"", """"))"),"Security &amp; AI, NetApp")</f>
        <v>Security &amp; AI, NetApp</v>
      </c>
      <c r="D121" s="4" t="str">
        <f>IFERROR(__xludf.DUMMYFUNCTION("IF(REGEXMATCH(H121, ""linkedin\.com""), H121, """")"),"https://www.linkedin.com/in/venkr/?originalSubdomain=in")</f>
        <v>https://www.linkedin.com/in/venkr/?originalSubdomain=in</v>
      </c>
      <c r="G121" s="1" t="s">
        <v>361</v>
      </c>
      <c r="H121" s="5" t="s">
        <v>362</v>
      </c>
    </row>
    <row r="122">
      <c r="A122" s="1" t="s">
        <v>363</v>
      </c>
      <c r="B122" s="3" t="str">
        <f>IFERROR(__xludf.DUMMYFUNCTION("TRIM(REGEXEXTRACT(G122, ""^[^,]+""))"),"Head of Asia Region")</f>
        <v>Head of Asia Region</v>
      </c>
      <c r="C122" s="3" t="str">
        <f>IFERROR(__xludf.DUMMYFUNCTION("TRIM(REGEXREPLACE(G122, ""^[^,]+,"", """"))"),"Deloitte Tohmatsu Venture Support")</f>
        <v>Deloitte Tohmatsu Venture Support</v>
      </c>
      <c r="D122" s="4" t="str">
        <f>IFERROR(__xludf.DUMMYFUNCTION("IF(REGEXMATCH(H122, ""linkedin\.com""), H122, """")"),"https://www.linkedin.com/in/takahisaohira/")</f>
        <v>https://www.linkedin.com/in/takahisaohira/</v>
      </c>
      <c r="G122" s="1" t="s">
        <v>364</v>
      </c>
      <c r="H122" s="5" t="s">
        <v>365</v>
      </c>
    </row>
    <row r="123">
      <c r="A123" s="1" t="s">
        <v>366</v>
      </c>
      <c r="B123" s="3" t="str">
        <f>IFERROR(__xludf.DUMMYFUNCTION("TRIM(REGEXEXTRACT(G123, ""^[^,]+""))"),"Co-founder &amp; CEO")</f>
        <v>Co-founder &amp; CEO</v>
      </c>
      <c r="C123" s="3" t="str">
        <f>IFERROR(__xludf.DUMMYFUNCTION("TRIM(REGEXREPLACE(G123, ""^[^,]+,"", """"))"),"Digantara")</f>
        <v>Digantara</v>
      </c>
      <c r="D123" s="4" t="str">
        <f>IFERROR(__xludf.DUMMYFUNCTION("IF(REGEXMATCH(H123, ""linkedin\.com""), H123, """")"),"https://www.linkedin.com/in/anirudh-sharma-digantara")</f>
        <v>https://www.linkedin.com/in/anirudh-sharma-digantara</v>
      </c>
      <c r="G123" s="1" t="s">
        <v>367</v>
      </c>
      <c r="H123" s="5" t="s">
        <v>368</v>
      </c>
    </row>
    <row r="124">
      <c r="A124" s="1" t="s">
        <v>369</v>
      </c>
      <c r="B124" s="3" t="str">
        <f>IFERROR(__xludf.DUMMYFUNCTION("TRIM(REGEXEXTRACT(G124, ""^[^,]+""))"),"Global Chief Digital Officer")</f>
        <v>Global Chief Digital Officer</v>
      </c>
      <c r="C124" s="3" t="str">
        <f>IFERROR(__xludf.DUMMYFUNCTION("TRIM(REGEXREPLACE(G124, ""^[^,]+,"", """"))"),"ABB")</f>
        <v>ABB</v>
      </c>
      <c r="D124" s="4" t="str">
        <f>IFERROR(__xludf.DUMMYFUNCTION("IF(REGEXMATCH(H124, ""linkedin\.com""), H124, """")"),"https://www.linkedin.com/in/rajeshramachandranurl/?originalSubdomain=in")</f>
        <v>https://www.linkedin.com/in/rajeshramachandranurl/?originalSubdomain=in</v>
      </c>
      <c r="G124" s="1" t="s">
        <v>370</v>
      </c>
      <c r="H124" s="5" t="s">
        <v>371</v>
      </c>
    </row>
    <row r="125">
      <c r="A125" s="1" t="s">
        <v>372</v>
      </c>
      <c r="B125" s="3" t="str">
        <f>IFERROR(__xludf.DUMMYFUNCTION("TRIM(REGEXEXTRACT(G125, ""^[^,]+""))"),"Executive Director")</f>
        <v>Executive Director</v>
      </c>
      <c r="C125" s="3" t="str">
        <f>IFERROR(__xludf.DUMMYFUNCTION("TRIM(REGEXREPLACE(G125, ""^[^,]+,"", """"))"),"Suzuki R&amp;D Center India")</f>
        <v>Suzuki R&amp;D Center India</v>
      </c>
      <c r="D125" s="4" t="str">
        <f>IFERROR(__xludf.DUMMYFUNCTION("IF(REGEXMATCH(H125, ""linkedin\.com""), H125, """")"),"https://www.linkedin.com/in/mayur-shah-491a871/")</f>
        <v>https://www.linkedin.com/in/mayur-shah-491a871/</v>
      </c>
      <c r="G125" s="1" t="s">
        <v>373</v>
      </c>
      <c r="H125" s="5" t="s">
        <v>374</v>
      </c>
    </row>
    <row r="126">
      <c r="A126" s="1" t="s">
        <v>375</v>
      </c>
      <c r="B126" s="3" t="str">
        <f>IFERROR(__xludf.DUMMYFUNCTION("TRIM(REGEXEXTRACT(G126, ""^[^,]+""))"),"Founder")</f>
        <v>Founder</v>
      </c>
      <c r="C126" s="3" t="str">
        <f>IFERROR(__xludf.DUMMYFUNCTION("TRIM(REGEXREPLACE(G126, ""^[^,]+,"", """"))"),"Koot")</f>
        <v>Koot</v>
      </c>
      <c r="D126" s="4" t="str">
        <f>IFERROR(__xludf.DUMMYFUNCTION("IF(REGEXMATCH(H126, ""linkedin\.com""), H126, """")"),"https://www.linkedin.com/in/asankar24/")</f>
        <v>https://www.linkedin.com/in/asankar24/</v>
      </c>
      <c r="G126" s="1" t="s">
        <v>376</v>
      </c>
      <c r="H126" s="5" t="s">
        <v>377</v>
      </c>
    </row>
    <row r="127">
      <c r="A127" s="1" t="s">
        <v>378</v>
      </c>
      <c r="B127" s="3" t="str">
        <f>IFERROR(__xludf.DUMMYFUNCTION("TRIM(REGEXEXTRACT(G127, ""^[^,]+""))"),"Founder")</f>
        <v>Founder</v>
      </c>
      <c r="C127" s="3" t="str">
        <f>IFERROR(__xludf.DUMMYFUNCTION("TRIM(REGEXREPLACE(G127, ""^[^,]+,"", """"))"),"House of Creators")</f>
        <v>House of Creators</v>
      </c>
      <c r="D127" s="4" t="str">
        <f>IFERROR(__xludf.DUMMYFUNCTION("IF(REGEXMATCH(H127, ""linkedin\.com""), H127, """")"),"https://www.linkedin.com/in/jatin-saini/?originalSubdomain=in")</f>
        <v>https://www.linkedin.com/in/jatin-saini/?originalSubdomain=in</v>
      </c>
      <c r="G127" s="1" t="s">
        <v>379</v>
      </c>
      <c r="H127" s="5" t="s">
        <v>380</v>
      </c>
    </row>
    <row r="128">
      <c r="A128" s="1" t="s">
        <v>381</v>
      </c>
      <c r="B128" s="3" t="str">
        <f>IFERROR(__xludf.DUMMYFUNCTION("TRIM(REGEXEXTRACT(G128, ""^[^,]+""))"),"Founder &amp; CEO")</f>
        <v>Founder &amp; CEO</v>
      </c>
      <c r="C128" s="3" t="str">
        <f>IFERROR(__xludf.DUMMYFUNCTION("TRIM(REGEXREPLACE(G128, ""^[^,]+,"", """"))"),"Rapid Claims")</f>
        <v>Rapid Claims</v>
      </c>
      <c r="D128" s="4" t="str">
        <f>IFERROR(__xludf.DUMMYFUNCTION("IF(REGEXMATCH(H128, ""linkedin\.com""), H128, """")"),"https://www.linkedin.com/in/idushyantmishra-f8/")</f>
        <v>https://www.linkedin.com/in/idushyantmishra-f8/</v>
      </c>
      <c r="G128" s="1" t="s">
        <v>382</v>
      </c>
      <c r="H128" s="5" t="s">
        <v>383</v>
      </c>
    </row>
    <row r="129">
      <c r="A129" s="1" t="s">
        <v>384</v>
      </c>
      <c r="B129" s="3" t="str">
        <f>IFERROR(__xludf.DUMMYFUNCTION("TRIM(REGEXEXTRACT(G129, ""^[^,]+""))"),"Co-founder &amp; COO")</f>
        <v>Co-founder &amp; COO</v>
      </c>
      <c r="C129" s="3" t="str">
        <f>IFERROR(__xludf.DUMMYFUNCTION("TRIM(REGEXREPLACE(G129, ""^[^,]+,"", """"))"),"Bellatrix Aerospace")</f>
        <v>Bellatrix Aerospace</v>
      </c>
      <c r="D129" s="4" t="str">
        <f>IFERROR(__xludf.DUMMYFUNCTION("IF(REGEXMATCH(H129, ""linkedin\.com""), H129, """")"),"https://www.linkedin.com/in/yashaskaranam/?originalSubdomain=in")</f>
        <v>https://www.linkedin.com/in/yashaskaranam/?originalSubdomain=in</v>
      </c>
      <c r="G129" s="1" t="s">
        <v>385</v>
      </c>
      <c r="H129" s="5" t="s">
        <v>386</v>
      </c>
    </row>
    <row r="130">
      <c r="A130" s="1" t="s">
        <v>387</v>
      </c>
      <c r="B130" s="3" t="str">
        <f>IFERROR(__xludf.DUMMYFUNCTION("TRIM(REGEXEXTRACT(G130, ""^[^,]+""))"),"Co-founder &amp; CEO")</f>
        <v>Co-founder &amp; CEO</v>
      </c>
      <c r="C130" s="3" t="str">
        <f>IFERROR(__xludf.DUMMYFUNCTION("TRIM(REGEXREPLACE(G130, ""^[^,]+,"", """"))"),"CoreWorks AI")</f>
        <v>CoreWorks AI</v>
      </c>
      <c r="D130" s="4" t="str">
        <f>IFERROR(__xludf.DUMMYFUNCTION("IF(REGEXMATCH(H130, ""linkedin\.com""), H130, """")"),"https://www.linkedin.com/in/pavansondur/")</f>
        <v>https://www.linkedin.com/in/pavansondur/</v>
      </c>
      <c r="G130" s="1" t="s">
        <v>388</v>
      </c>
      <c r="H130" s="5" t="s">
        <v>389</v>
      </c>
    </row>
    <row r="131">
      <c r="A131" s="1" t="s">
        <v>390</v>
      </c>
      <c r="B131" s="3" t="str">
        <f>IFERROR(__xludf.DUMMYFUNCTION("TRIM(REGEXEXTRACT(G131, ""^[^,]+""))"),"Research Director – Devices &amp; Ecosystems")</f>
        <v>Research Director – Devices &amp; Ecosystems</v>
      </c>
      <c r="C131" s="3" t="str">
        <f>IFERROR(__xludf.DUMMYFUNCTION("TRIM(REGEXREPLACE(G131, ""^[^,]+,"", """"))"),"Counterpoint Research")</f>
        <v>Counterpoint Research</v>
      </c>
      <c r="D131" s="4" t="str">
        <f>IFERROR(__xludf.DUMMYFUNCTION("IF(REGEXMATCH(H131, ""linkedin\.com""), H131, """")"),"https://www.linkedin.com/in/tpathak1/?originalSubdomain=in")</f>
        <v>https://www.linkedin.com/in/tpathak1/?originalSubdomain=in</v>
      </c>
      <c r="G131" s="1" t="s">
        <v>391</v>
      </c>
      <c r="H131" s="5" t="s">
        <v>392</v>
      </c>
    </row>
    <row r="132">
      <c r="A132" s="1" t="s">
        <v>393</v>
      </c>
      <c r="B132" s="3" t="str">
        <f>IFERROR(__xludf.DUMMYFUNCTION("TRIM(REGEXEXTRACT(G132, ""^[^,]+""))"),"Co-founder")</f>
        <v>Co-founder</v>
      </c>
      <c r="C132" s="3" t="str">
        <f>IFERROR(__xludf.DUMMYFUNCTION("TRIM(REGEXREPLACE(G132, ""^[^,]+,"", """"))"),"M2P Fintech")</f>
        <v>M2P Fintech</v>
      </c>
      <c r="D132" s="4" t="str">
        <f>IFERROR(__xludf.DUMMYFUNCTION("IF(REGEXMATCH(H132, ""linkedin\.com""), H132, """")"),"https://www.linkedin.com/in/prabhu-rangarajan/?originalSubdomain=in")</f>
        <v>https://www.linkedin.com/in/prabhu-rangarajan/?originalSubdomain=in</v>
      </c>
      <c r="G132" s="1" t="s">
        <v>394</v>
      </c>
      <c r="H132" s="5" t="s">
        <v>395</v>
      </c>
    </row>
    <row r="133">
      <c r="A133" s="1" t="s">
        <v>396</v>
      </c>
      <c r="B133" s="3" t="str">
        <f>IFERROR(__xludf.DUMMYFUNCTION("TRIM(REGEXEXTRACT(G133, ""^[^,]+""))"),"Co-Founder")</f>
        <v>Co-Founder</v>
      </c>
      <c r="C133" s="3" t="str">
        <f>IFERROR(__xludf.DUMMYFUNCTION("TRIM(REGEXREPLACE(G133, ""^[^,]+,"", """"))"),"axio")</f>
        <v>axio</v>
      </c>
      <c r="D133" s="4" t="str">
        <f>IFERROR(__xludf.DUMMYFUNCTION("IF(REGEXMATCH(H133, ""linkedin\.com""), H133, """")"),"https://www.linkedin.com/in/gaurav-hinduja-25a24544/")</f>
        <v>https://www.linkedin.com/in/gaurav-hinduja-25a24544/</v>
      </c>
      <c r="G133" s="1" t="s">
        <v>397</v>
      </c>
      <c r="H133" s="5" t="s">
        <v>398</v>
      </c>
    </row>
    <row r="134">
      <c r="A134" s="1" t="s">
        <v>399</v>
      </c>
      <c r="B134" s="3" t="str">
        <f>IFERROR(__xludf.DUMMYFUNCTION("TRIM(REGEXEXTRACT(G134, ""^[^,]+""))"),"Co-founder &amp; CEO")</f>
        <v>Co-founder &amp; CEO</v>
      </c>
      <c r="C134" s="3" t="str">
        <f>IFERROR(__xludf.DUMMYFUNCTION("TRIM(REGEXREPLACE(G134, ""^[^,]+,"", """"))"),"Rocket")</f>
        <v>Rocket</v>
      </c>
      <c r="D134" s="4" t="str">
        <f>IFERROR(__xludf.DUMMYFUNCTION("IF(REGEXMATCH(H134, ""linkedin\.com""), H134, """")"),"https://www.linkedin.com/in/vishalvirani/?originalSubdomain=in")</f>
        <v>https://www.linkedin.com/in/vishalvirani/?originalSubdomain=in</v>
      </c>
      <c r="G134" s="1" t="s">
        <v>400</v>
      </c>
      <c r="H134" s="5" t="s">
        <v>401</v>
      </c>
    </row>
    <row r="135">
      <c r="A135" s="1" t="s">
        <v>402</v>
      </c>
      <c r="B135" s="3" t="str">
        <f>IFERROR(__xludf.DUMMYFUNCTION("TRIM(REGEXEXTRACT(G135, ""^[^,]+""))"),"Director Partnerships")</f>
        <v>Director Partnerships</v>
      </c>
      <c r="C135" s="3" t="str">
        <f>IFERROR(__xludf.DUMMYFUNCTION("TRIM(REGEXREPLACE(G135, ""^[^,]+,"", """"))"),"AWS")</f>
        <v>AWS</v>
      </c>
      <c r="D135" s="4" t="str">
        <f>IFERROR(__xludf.DUMMYFUNCTION("IF(REGEXMATCH(H135, ""linkedin\.com""), H135, """")"),"https://www.linkedin.com/in/prsridhar/?utm_source=share_via&amp;utm_content=profile&amp;utm_medium=member_ios")</f>
        <v>https://www.linkedin.com/in/prsridhar/?utm_source=share_via&amp;utm_content=profile&amp;utm_medium=member_ios</v>
      </c>
      <c r="G135" s="1" t="s">
        <v>403</v>
      </c>
      <c r="H135" s="5" t="s">
        <v>404</v>
      </c>
    </row>
    <row r="136">
      <c r="A136" s="1" t="s">
        <v>405</v>
      </c>
      <c r="B136" s="3" t="str">
        <f>IFERROR(__xludf.DUMMYFUNCTION("TRIM(REGEXEXTRACT(G136, ""^[^,]+""))"),"Director - Google Cloud Consulting")</f>
        <v>Director - Google Cloud Consulting</v>
      </c>
      <c r="C136" s="3" t="str">
        <f>IFERROR(__xludf.DUMMYFUNCTION("TRIM(REGEXREPLACE(G136, ""^[^,]+,"", """"))"),"Google Cloud India")</f>
        <v>Google Cloud India</v>
      </c>
      <c r="D136" s="4" t="str">
        <f>IFERROR(__xludf.DUMMYFUNCTION("IF(REGEXMATCH(H136, ""linkedin\.com""), H136, """")"),"https://linkedin.com/in/teena-bhasin-0598b6?originalSubdomain=in")</f>
        <v>https://linkedin.com/in/teena-bhasin-0598b6?originalSubdomain=in</v>
      </c>
      <c r="G136" s="1" t="s">
        <v>406</v>
      </c>
      <c r="H136" s="5" t="s">
        <v>407</v>
      </c>
    </row>
    <row r="137">
      <c r="A137" s="1" t="s">
        <v>408</v>
      </c>
      <c r="B137" s="3" t="str">
        <f>IFERROR(__xludf.DUMMYFUNCTION("TRIM(REGEXEXTRACT(G137, ""^[^,]+""))"),"Head of Product and Marketing")</f>
        <v>Head of Product and Marketing</v>
      </c>
      <c r="C137" s="3" t="str">
        <f>IFERROR(__xludf.DUMMYFUNCTION("TRIM(REGEXREPLACE(G137, ""^[^,]+,"", """"))"),"E2E Networks Limited")</f>
        <v>E2E Networks Limited</v>
      </c>
      <c r="D137" s="4" t="str">
        <f>IFERROR(__xludf.DUMMYFUNCTION("IF(REGEXMATCH(H137, ""linkedin\.com""), H137, """")"),"https://www.linkedin.com/in/vishnusubramanian/?originalSubdomain=in")</f>
        <v>https://www.linkedin.com/in/vishnusubramanian/?originalSubdomain=in</v>
      </c>
      <c r="G137" s="1" t="s">
        <v>409</v>
      </c>
      <c r="H137" s="5" t="s">
        <v>410</v>
      </c>
    </row>
    <row r="138">
      <c r="A138" s="1" t="s">
        <v>411</v>
      </c>
      <c r="B138" s="3" t="str">
        <f>IFERROR(__xludf.DUMMYFUNCTION("TRIM(REGEXEXTRACT(G138, ""^[^,]+""))"),"Co-founder &amp; CEO")</f>
        <v>Co-founder &amp; CEO</v>
      </c>
      <c r="C138" s="3" t="str">
        <f>IFERROR(__xludf.DUMMYFUNCTION("TRIM(REGEXREPLACE(G138, ""^[^,]+,"", """"))"),"Sarla Aviation")</f>
        <v>Sarla Aviation</v>
      </c>
      <c r="D138" s="4" t="str">
        <f>IFERROR(__xludf.DUMMYFUNCTION("IF(REGEXMATCH(H138, ""linkedin\.com""), H138, """")"),"https://www.linkedin.com/in/adrnschm/?originalSubdomain=in")</f>
        <v>https://www.linkedin.com/in/adrnschm/?originalSubdomain=in</v>
      </c>
      <c r="G138" s="1" t="s">
        <v>412</v>
      </c>
      <c r="H138" s="5" t="s">
        <v>413</v>
      </c>
    </row>
    <row r="139">
      <c r="A139" s="1" t="s">
        <v>414</v>
      </c>
      <c r="B139" s="3" t="str">
        <f>IFERROR(__xludf.DUMMYFUNCTION("TRIM(REGEXEXTRACT(G139, ""^[^,]+""))"),"Founder &amp; Managing Partner")</f>
        <v>Founder &amp; Managing Partner</v>
      </c>
      <c r="C139" s="3" t="str">
        <f>IFERROR(__xludf.DUMMYFUNCTION("TRIM(REGEXREPLACE(G139, ""^[^,]+,"", """"))"),"RSD Bajaj Global")</f>
        <v>RSD Bajaj Global</v>
      </c>
      <c r="D139" s="4" t="str">
        <f>IFERROR(__xludf.DUMMYFUNCTION("IF(REGEXMATCH(H139, ""linkedin\.com""), H139, """")"),"https://www.linkedin.com/in/shivaartibajaj/")</f>
        <v>https://www.linkedin.com/in/shivaartibajaj/</v>
      </c>
      <c r="G139" s="1" t="s">
        <v>415</v>
      </c>
      <c r="H139" s="5" t="s">
        <v>416</v>
      </c>
    </row>
    <row r="140">
      <c r="A140" s="1" t="s">
        <v>417</v>
      </c>
      <c r="B140" s="3" t="str">
        <f>IFERROR(__xludf.DUMMYFUNCTION("TRIM(REGEXEXTRACT(G140, ""^[^,]+""))"),"CEO")</f>
        <v>CEO</v>
      </c>
      <c r="C140" s="3" t="str">
        <f>IFERROR(__xludf.DUMMYFUNCTION("TRIM(REGEXREPLACE(G140, ""^[^,]+,"", """"))"),"Money Forward India")</f>
        <v>Money Forward India</v>
      </c>
      <c r="D140" s="4" t="str">
        <f>IFERROR(__xludf.DUMMYFUNCTION("IF(REGEXMATCH(H140, ""linkedin\.com""), H140, """")"),"https://www.linkedin.com/in/vivek-gokhale-29b202a/?originalSubdomain=in")</f>
        <v>https://www.linkedin.com/in/vivek-gokhale-29b202a/?originalSubdomain=in</v>
      </c>
      <c r="G140" s="1" t="s">
        <v>418</v>
      </c>
      <c r="H140" s="5" t="s">
        <v>419</v>
      </c>
    </row>
    <row r="141">
      <c r="A141" s="1" t="s">
        <v>420</v>
      </c>
      <c r="B141" s="3" t="str">
        <f>IFERROR(__xludf.DUMMYFUNCTION("TRIM(REGEXEXTRACT(G141, ""^[^,]+""))"),"Group Field Marketing Manager - Direct &amp; Partner")</f>
        <v>Group Field Marketing Manager - Direct &amp; Partner</v>
      </c>
      <c r="C141" s="3" t="str">
        <f>IFERROR(__xludf.DUMMYFUNCTION("TRIM(REGEXREPLACE(G141, ""^[^,]+,"", """"))"),"Google Cloud")</f>
        <v>Google Cloud</v>
      </c>
      <c r="D141" s="4" t="str">
        <f>IFERROR(__xludf.DUMMYFUNCTION("IF(REGEXMATCH(H141, ""linkedin\.com""), H141, """")"),"https://www.linkedin.com/in/jaydeep-deshpande-jd-4a120a3/?originalSubdomain=in")</f>
        <v>https://www.linkedin.com/in/jaydeep-deshpande-jd-4a120a3/?originalSubdomain=in</v>
      </c>
      <c r="G141" s="1" t="s">
        <v>421</v>
      </c>
      <c r="H141" s="5" t="s">
        <v>422</v>
      </c>
    </row>
    <row r="142">
      <c r="A142" s="1" t="s">
        <v>423</v>
      </c>
      <c r="B142" s="3" t="str">
        <f>IFERROR(__xludf.DUMMYFUNCTION("TRIM(REGEXEXTRACT(G142, ""^[^,]+""))"),"COO AutoVRse")</f>
        <v>COO AutoVRse</v>
      </c>
      <c r="C142" s="3" t="str">
        <f>IFERROR(__xludf.DUMMYFUNCTION("TRIM(REGEXREPLACE(G142, ""^[^,]+,"", """"))"),"COO AutoVRse")</f>
        <v>COO AutoVRse</v>
      </c>
      <c r="D142" s="4" t="str">
        <f>IFERROR(__xludf.DUMMYFUNCTION("IF(REGEXMATCH(H142, ""linkedin\.com""), H142, """")"),"https://www.linkedin.com/in/angad-v-raghavan/?originalSubdomain=in")</f>
        <v>https://www.linkedin.com/in/angad-v-raghavan/?originalSubdomain=in</v>
      </c>
      <c r="G142" s="1" t="s">
        <v>424</v>
      </c>
      <c r="H142" s="5" t="s">
        <v>425</v>
      </c>
    </row>
    <row r="143">
      <c r="A143" s="1" t="s">
        <v>426</v>
      </c>
      <c r="B143" s="3" t="str">
        <f>IFERROR(__xludf.DUMMYFUNCTION("TRIM(REGEXEXTRACT(G143, ""^[^,]+""))"),"Head of Startup Ecosystem - Entrepreneurship")</f>
        <v>Head of Startup Ecosystem - Entrepreneurship</v>
      </c>
      <c r="C143" s="3" t="str">
        <f>IFERROR(__xludf.DUMMYFUNCTION("TRIM(REGEXREPLACE(G143, ""^[^,]+,"", """"))"),"Stockholm Business Region")</f>
        <v>Stockholm Business Region</v>
      </c>
      <c r="D143" s="4" t="str">
        <f>IFERROR(__xludf.DUMMYFUNCTION("IF(REGEXMATCH(H143, ""linkedin\.com""), H143, """")"),"https://www.linkedin.com/in/ariane-bucquet-pousette-28136215")</f>
        <v>https://www.linkedin.com/in/ariane-bucquet-pousette-28136215</v>
      </c>
      <c r="G143" s="1" t="s">
        <v>427</v>
      </c>
      <c r="H143" s="5" t="s">
        <v>428</v>
      </c>
    </row>
    <row r="144">
      <c r="A144" s="1" t="s">
        <v>429</v>
      </c>
      <c r="B144" s="3" t="str">
        <f>IFERROR(__xludf.DUMMYFUNCTION("TRIM(REGEXEXTRACT(G144, ""^[^,]+""))"),"Vice President")</f>
        <v>Vice President</v>
      </c>
      <c r="C144" s="3" t="str">
        <f>IFERROR(__xludf.DUMMYFUNCTION("TRIM(REGEXREPLACE(G144, ""^[^,]+,"", """"))"),"Denso International India")</f>
        <v>Denso International India</v>
      </c>
      <c r="D144" s="4" t="str">
        <f>IFERROR(__xludf.DUMMYFUNCTION("IF(REGEXMATCH(H144, ""linkedin\.com""), H144, """")"),"http://linkedin.com/in/morimototsuyoshi")</f>
        <v>http://linkedin.com/in/morimototsuyoshi</v>
      </c>
      <c r="G144" s="1" t="s">
        <v>430</v>
      </c>
      <c r="H144" s="5" t="s">
        <v>431</v>
      </c>
    </row>
    <row r="145">
      <c r="A145" s="1" t="s">
        <v>432</v>
      </c>
      <c r="B145" s="3" t="str">
        <f>IFERROR(__xludf.DUMMYFUNCTION("TRIM(REGEXEXTRACT(G145, ""^[^,]+""))"),"Co-founder &amp; CEO")</f>
        <v>Co-founder &amp; CEO</v>
      </c>
      <c r="C145" s="3" t="str">
        <f>IFERROR(__xludf.DUMMYFUNCTION("TRIM(REGEXREPLACE(G145, ""^[^,]+,"", """"))"),"BRISKPE")</f>
        <v>BRISKPE</v>
      </c>
      <c r="D145" s="4" t="str">
        <f>IFERROR(__xludf.DUMMYFUNCTION("IF(REGEXMATCH(H145, ""linkedin\.com""), H145, """")"),"https://www.linkedin.com/in/tripathysanjay")</f>
        <v>https://www.linkedin.com/in/tripathysanjay</v>
      </c>
      <c r="G145" s="1" t="s">
        <v>433</v>
      </c>
      <c r="H145" s="5" t="s">
        <v>434</v>
      </c>
    </row>
    <row r="146">
      <c r="A146" s="1" t="s">
        <v>435</v>
      </c>
      <c r="B146" s="3" t="str">
        <f>IFERROR(__xludf.DUMMYFUNCTION("TRIM(REGEXEXTRACT(G146, ""^[^,]+""))"),"Founder")</f>
        <v>Founder</v>
      </c>
      <c r="C146" s="3" t="str">
        <f>IFERROR(__xludf.DUMMYFUNCTION("TRIM(REGEXREPLACE(G146, ""^[^,]+,"", """"))"),"YogiFi")</f>
        <v>YogiFi</v>
      </c>
      <c r="D146" s="4" t="str">
        <f>IFERROR(__xludf.DUMMYFUNCTION("IF(REGEXMATCH(H146, ""linkedin\.com""), H146, """")"),"https://www.linkedin.com/in/muralis/")</f>
        <v>https://www.linkedin.com/in/muralis/</v>
      </c>
      <c r="G146" s="1" t="s">
        <v>436</v>
      </c>
      <c r="H146" s="5" t="s">
        <v>437</v>
      </c>
    </row>
    <row r="147">
      <c r="A147" s="1" t="s">
        <v>438</v>
      </c>
      <c r="B147" s="3" t="str">
        <f>IFERROR(__xludf.DUMMYFUNCTION("TRIM(REGEXEXTRACT(G147, ""^[^,]+""))"),"CTO")</f>
        <v>CTO</v>
      </c>
      <c r="C147" s="3" t="str">
        <f>IFERROR(__xludf.DUMMYFUNCTION("TRIM(REGEXREPLACE(G147, ""^[^,]+,"", """"))"),"Policybazaar.")</f>
        <v>Policybazaar.</v>
      </c>
      <c r="D147" s="4" t="str">
        <f>IFERROR(__xludf.DUMMYFUNCTION("IF(REGEXMATCH(H147, ""linkedin\.com""), H147, """")"),"https://www.linkedin.com/in/tiwarisaurabh/")</f>
        <v>https://www.linkedin.com/in/tiwarisaurabh/</v>
      </c>
      <c r="G147" s="1" t="s">
        <v>439</v>
      </c>
      <c r="H147" s="5" t="s">
        <v>440</v>
      </c>
    </row>
    <row r="148">
      <c r="A148" s="1" t="s">
        <v>441</v>
      </c>
      <c r="B148" s="3" t="str">
        <f>IFERROR(__xludf.DUMMYFUNCTION("TRIM(REGEXEXTRACT(G148, ""^[^,]+""))"),"Founder &amp; CEO")</f>
        <v>Founder &amp; CEO</v>
      </c>
      <c r="C148" s="3" t="str">
        <f>IFERROR(__xludf.DUMMYFUNCTION("TRIM(REGEXREPLACE(G148, ""^[^,]+,"", """"))"),"Kissan AI")</f>
        <v>Kissan AI</v>
      </c>
      <c r="D148" s="4" t="str">
        <f>IFERROR(__xludf.DUMMYFUNCTION("IF(REGEXMATCH(H148, ""linkedin\.com""), H148, """")"),"https://linkedin.com/in/pratikkumardesai")</f>
        <v>https://linkedin.com/in/pratikkumardesai</v>
      </c>
      <c r="G148" s="1" t="s">
        <v>442</v>
      </c>
      <c r="H148" s="5" t="s">
        <v>443</v>
      </c>
    </row>
    <row r="149">
      <c r="A149" s="1" t="s">
        <v>444</v>
      </c>
      <c r="B149" s="3" t="str">
        <f>IFERROR(__xludf.DUMMYFUNCTION("TRIM(REGEXEXTRACT(G149, ""^[^,]+""))"),"Director - Solution Architect &amp; Engg")</f>
        <v>Director - Solution Architect &amp; Engg</v>
      </c>
      <c r="C149" s="3" t="str">
        <f>IFERROR(__xludf.DUMMYFUNCTION("TRIM(REGEXREPLACE(G149, ""^[^,]+,"", """"))"),"NVIDIA")</f>
        <v>NVIDIA</v>
      </c>
      <c r="D149" s="4" t="str">
        <f>IFERROR(__xludf.DUMMYFUNCTION("IF(REGEXMATCH(H149, ""linkedin\.com""), H149, """")"),"https://www.linkedin.com/in/jigarhalani/?originalSubdomain=in")</f>
        <v>https://www.linkedin.com/in/jigarhalani/?originalSubdomain=in</v>
      </c>
      <c r="G149" s="1" t="s">
        <v>445</v>
      </c>
      <c r="H149" s="5" t="s">
        <v>446</v>
      </c>
    </row>
    <row r="150">
      <c r="A150" s="1" t="s">
        <v>447</v>
      </c>
      <c r="B150" s="3" t="str">
        <f>IFERROR(__xludf.DUMMYFUNCTION("TRIM(REGEXEXTRACT(G150, ""^[^,]+""))"),"Founder")</f>
        <v>Founder</v>
      </c>
      <c r="C150" s="3" t="str">
        <f>IFERROR(__xludf.DUMMYFUNCTION("TRIM(REGEXREPLACE(G150, ""^[^,]+,"", """"))"),"Galleri5 (acquired by Collective Artists)")</f>
        <v>Galleri5 (acquired by Collective Artists)</v>
      </c>
      <c r="D150" s="4" t="str">
        <f>IFERROR(__xludf.DUMMYFUNCTION("IF(REGEXMATCH(H150, ""linkedin\.com""), H150, """")"),"https://www.linkedin.com/in/rahulregulapati/")</f>
        <v>https://www.linkedin.com/in/rahulregulapati/</v>
      </c>
      <c r="G150" s="1" t="s">
        <v>448</v>
      </c>
      <c r="H150" s="5" t="s">
        <v>449</v>
      </c>
    </row>
    <row r="151">
      <c r="A151" s="1" t="s">
        <v>450</v>
      </c>
      <c r="B151" s="3" t="str">
        <f>IFERROR(__xludf.DUMMYFUNCTION("TRIM(REGEXEXTRACT(G151, ""^[^,]+""))"),"Head of Startup Solutions Architecture")</f>
        <v>Head of Startup Solutions Architecture</v>
      </c>
      <c r="C151" s="3" t="str">
        <f>IFERROR(__xludf.DUMMYFUNCTION("TRIM(REGEXREPLACE(G151, ""^[^,]+,"", """"))"),"AWS")</f>
        <v>AWS</v>
      </c>
      <c r="D151" s="4" t="str">
        <f>IFERROR(__xludf.DUMMYFUNCTION("IF(REGEXMATCH(H151, ""linkedin\.com""), H151, """")"),"https://www.linkedin.com/in/goutamkurumella/?utm_source=share&amp;utm_campaign=share_via&amp;utm_content=profile&amp;utm_medium=ios_app")</f>
        <v>https://www.linkedin.com/in/goutamkurumella/?utm_source=share&amp;utm_campaign=share_via&amp;utm_content=profile&amp;utm_medium=ios_app</v>
      </c>
      <c r="G151" s="1" t="s">
        <v>451</v>
      </c>
      <c r="H151" s="5" t="s">
        <v>452</v>
      </c>
    </row>
    <row r="152">
      <c r="A152" s="1" t="s">
        <v>453</v>
      </c>
      <c r="B152" s="3" t="str">
        <f>IFERROR(__xludf.DUMMYFUNCTION("TRIM(REGEXEXTRACT(G152, ""^[^,]+""))"),"Co-founder")</f>
        <v>Co-founder</v>
      </c>
      <c r="C152" s="3" t="str">
        <f>IFERROR(__xludf.DUMMYFUNCTION("TRIM(REGEXREPLACE(G152, ""^[^,]+,"", """"))"),"Freo")</f>
        <v>Freo</v>
      </c>
      <c r="D152" s="4" t="str">
        <f>IFERROR(__xludf.DUMMYFUNCTION("IF(REGEXMATCH(H152, ""linkedin\.com""), H152, """")"),"https://www.linkedin.com/in/anujkacker1/")</f>
        <v>https://www.linkedin.com/in/anujkacker1/</v>
      </c>
      <c r="G152" s="1" t="s">
        <v>454</v>
      </c>
      <c r="H152" s="5" t="s">
        <v>455</v>
      </c>
    </row>
    <row r="153">
      <c r="A153" s="1" t="s">
        <v>456</v>
      </c>
      <c r="B153" s="3" t="str">
        <f>IFERROR(__xludf.DUMMYFUNCTION("TRIM(REGEXEXTRACT(G153, ""^[^,]+""))"),"Vice president - Engineering")</f>
        <v>Vice president - Engineering</v>
      </c>
      <c r="C153" s="3" t="str">
        <f>IFERROR(__xludf.DUMMYFUNCTION("TRIM(REGEXREPLACE(G153, ""^[^,]+,"", """"))"),"PayU")</f>
        <v>PayU</v>
      </c>
      <c r="D153" s="4" t="str">
        <f>IFERROR(__xludf.DUMMYFUNCTION("IF(REGEXMATCH(H153, ""linkedin\.com""), H153, """")"),"https://www.linkedin.com/in/vsagarkumar/")</f>
        <v>https://www.linkedin.com/in/vsagarkumar/</v>
      </c>
      <c r="G153" s="1" t="s">
        <v>457</v>
      </c>
      <c r="H153" s="5" t="s">
        <v>458</v>
      </c>
    </row>
    <row r="154">
      <c r="A154" s="1" t="s">
        <v>459</v>
      </c>
      <c r="B154" s="3" t="str">
        <f>IFERROR(__xludf.DUMMYFUNCTION("TRIM(REGEXEXTRACT(G154, ""^[^,]+""))"),"COO")</f>
        <v>COO</v>
      </c>
      <c r="C154" s="3" t="str">
        <f>IFERROR(__xludf.DUMMYFUNCTION("TRIM(REGEXREPLACE(G154, ""^[^,]+,"", """"))"),"BalanceheroIndia")</f>
        <v>BalanceheroIndia</v>
      </c>
      <c r="D154" s="4" t="str">
        <f>IFERROR(__xludf.DUMMYFUNCTION("IF(REGEXMATCH(H154, ""linkedin\.com""), H154, """")"),"https://www.linkedin.com/in/soumyajitghosh/?originalSubdomain=in")</f>
        <v>https://www.linkedin.com/in/soumyajitghosh/?originalSubdomain=in</v>
      </c>
      <c r="G154" s="1" t="s">
        <v>460</v>
      </c>
      <c r="H154" s="5" t="s">
        <v>461</v>
      </c>
    </row>
    <row r="155">
      <c r="A155" s="1" t="s">
        <v>462</v>
      </c>
      <c r="B155" s="3" t="str">
        <f>IFERROR(__xludf.DUMMYFUNCTION("TRIM(REGEXEXTRACT(G155, ""^[^,]+""))"),"VP - Head of Technology &amp; Digital Natives")</f>
        <v>VP - Head of Technology &amp; Digital Natives</v>
      </c>
      <c r="C155" s="3" t="str">
        <f>IFERROR(__xludf.DUMMYFUNCTION("TRIM(REGEXREPLACE(G155, ""^[^,]+,"", """"))"),"QualityKiosk Technologies")</f>
        <v>QualityKiosk Technologies</v>
      </c>
      <c r="D155" s="4" t="str">
        <f>IFERROR(__xludf.DUMMYFUNCTION("IF(REGEXMATCH(H155, ""linkedin\.com""), H155, """")"),"https://www.linkedin.com/in/abilashhari/")</f>
        <v>https://www.linkedin.com/in/abilashhari/</v>
      </c>
      <c r="G155" s="1" t="s">
        <v>463</v>
      </c>
      <c r="H155" s="5" t="s">
        <v>464</v>
      </c>
    </row>
    <row r="156">
      <c r="A156" s="1" t="s">
        <v>465</v>
      </c>
      <c r="B156" s="3" t="str">
        <f>IFERROR(__xludf.DUMMYFUNCTION("TRIM(REGEXEXTRACT(G156, ""^[^,]+""))"),"Founder &amp; CEO")</f>
        <v>Founder &amp; CEO</v>
      </c>
      <c r="C156" s="3" t="str">
        <f>IFERROR(__xludf.DUMMYFUNCTION("TRIM(REGEXREPLACE(G156, ""^[^,]+,"", """"))"),"CheQ")</f>
        <v>CheQ</v>
      </c>
      <c r="D156" s="4" t="str">
        <f>IFERROR(__xludf.DUMMYFUNCTION("IF(REGEXMATCH(H156, ""linkedin\.com""), H156, """")"),"https://www.linkedin.com/in/adityasoni/?originalSubdomain=in")</f>
        <v>https://www.linkedin.com/in/adityasoni/?originalSubdomain=in</v>
      </c>
      <c r="G156" s="1" t="s">
        <v>466</v>
      </c>
      <c r="H156" s="5" t="s">
        <v>467</v>
      </c>
    </row>
    <row r="157">
      <c r="A157" s="1" t="s">
        <v>468</v>
      </c>
      <c r="B157" s="3" t="str">
        <f>IFERROR(__xludf.DUMMYFUNCTION("TRIM(REGEXEXTRACT(G157, ""^[^,]+""))"),"Head of Engineering")</f>
        <v>Head of Engineering</v>
      </c>
      <c r="C157" s="3" t="str">
        <f>IFERROR(__xludf.DUMMYFUNCTION("TRIM(REGEXREPLACE(G157, ""^[^,]+,"", """"))"),"Namma Yatri")</f>
        <v>Namma Yatri</v>
      </c>
      <c r="D157" s="4" t="str">
        <f>IFERROR(__xludf.DUMMYFUNCTION("IF(REGEXMATCH(H157, ""linkedin\.com""), H157, """")"),"https://linkedin.com/in/hkmangla?originalSubdomain=in")</f>
        <v>https://linkedin.com/in/hkmangla?originalSubdomain=in</v>
      </c>
      <c r="G157" s="1" t="s">
        <v>469</v>
      </c>
      <c r="H157" s="5" t="s">
        <v>470</v>
      </c>
    </row>
    <row r="158">
      <c r="A158" s="1" t="s">
        <v>471</v>
      </c>
      <c r="B158" s="3" t="str">
        <f>IFERROR(__xludf.DUMMYFUNCTION("TRIM(REGEXEXTRACT(G158, ""^[^,]+""))"),"Founder &amp; Executive Director")</f>
        <v>Founder &amp; Executive Director</v>
      </c>
      <c r="C158" s="3" t="str">
        <f>IFERROR(__xludf.DUMMYFUNCTION("TRIM(REGEXREPLACE(G158, ""^[^,]+,"", """"))"),"Kredx")</f>
        <v>Kredx</v>
      </c>
      <c r="D158" s="4" t="str">
        <f>IFERROR(__xludf.DUMMYFUNCTION("IF(REGEXMATCH(H158, ""linkedin\.com""), H158, """")"),"https://www.linkedin.com/in/anuragkredx/?originalSubdomain=in")</f>
        <v>https://www.linkedin.com/in/anuragkredx/?originalSubdomain=in</v>
      </c>
      <c r="G158" s="1" t="s">
        <v>472</v>
      </c>
      <c r="H158" s="5" t="s">
        <v>473</v>
      </c>
    </row>
    <row r="159">
      <c r="A159" s="1" t="s">
        <v>474</v>
      </c>
      <c r="B159" s="3" t="str">
        <f>IFERROR(__xludf.DUMMYFUNCTION("TRIM(REGEXEXTRACT(G159, ""^[^,]+""))"),"Head - SRE")</f>
        <v>Head - SRE</v>
      </c>
      <c r="C159" s="3" t="str">
        <f>IFERROR(__xludf.DUMMYFUNCTION("TRIM(REGEXREPLACE(G159, ""^[^,]+,"", """"))"),"Cloud Infra, AI-Labs, Cred")</f>
        <v>Cloud Infra, AI-Labs, Cred</v>
      </c>
      <c r="D159" s="4" t="str">
        <f>IFERROR(__xludf.DUMMYFUNCTION("IF(REGEXMATCH(H159, ""linkedin\.com""), H159, """")"),"https://www.linkedin.com/in/svaithee12/?originalSubdomain=in")</f>
        <v>https://www.linkedin.com/in/svaithee12/?originalSubdomain=in</v>
      </c>
      <c r="G159" s="1" t="s">
        <v>475</v>
      </c>
      <c r="H159" s="5" t="s">
        <v>476</v>
      </c>
    </row>
    <row r="160">
      <c r="A160" s="1" t="s">
        <v>477</v>
      </c>
      <c r="B160" s="3" t="str">
        <f>IFERROR(__xludf.DUMMYFUNCTION("TRIM(REGEXEXTRACT(G160, ""^[^,]+""))"),"VP Engineering")</f>
        <v>VP Engineering</v>
      </c>
      <c r="C160" s="3" t="str">
        <f>IFERROR(__xludf.DUMMYFUNCTION("TRIM(REGEXREPLACE(G160, ""^[^,]+,"", """"))"),"Lead School")</f>
        <v>Lead School</v>
      </c>
      <c r="D160" s="4" t="str">
        <f>IFERROR(__xludf.DUMMYFUNCTION("IF(REGEXMATCH(H160, ""linkedin\.com""), H160, """")"),"https://www.linkedin.com/in/saturnine/?originalSubdomain=in")</f>
        <v>https://www.linkedin.com/in/saturnine/?originalSubdomain=in</v>
      </c>
      <c r="G160" s="1" t="s">
        <v>478</v>
      </c>
      <c r="H160" s="5" t="s">
        <v>479</v>
      </c>
    </row>
    <row r="161">
      <c r="A161" s="1" t="s">
        <v>480</v>
      </c>
      <c r="B161" s="3" t="str">
        <f>IFERROR(__xludf.DUMMYFUNCTION("TRIM(REGEXEXTRACT(G161, ""^[^,]+""))"),"VP Engineering")</f>
        <v>VP Engineering</v>
      </c>
      <c r="C161" s="3" t="str">
        <f>IFERROR(__xludf.DUMMYFUNCTION("TRIM(REGEXREPLACE(G161, ""^[^,]+,"", """"))"),"Acko")</f>
        <v>Acko</v>
      </c>
      <c r="D161" s="4" t="str">
        <f>IFERROR(__xludf.DUMMYFUNCTION("IF(REGEXMATCH(H161, ""linkedin\.com""), H161, """")"),"https://www.linkedin.com/in/vaibhavmagon/?originalSubdomain=in")</f>
        <v>https://www.linkedin.com/in/vaibhavmagon/?originalSubdomain=in</v>
      </c>
      <c r="G161" s="1" t="s">
        <v>481</v>
      </c>
      <c r="H161" s="5" t="s">
        <v>482</v>
      </c>
    </row>
    <row r="162">
      <c r="A162" s="1" t="s">
        <v>483</v>
      </c>
      <c r="B162" s="3" t="str">
        <f>IFERROR(__xludf.DUMMYFUNCTION("TRIM(REGEXEXTRACT(G162, ""^[^,]+""))"),"Co-founder &amp; CTO")</f>
        <v>Co-founder &amp; CTO</v>
      </c>
      <c r="C162" s="3" t="str">
        <f>IFERROR(__xludf.DUMMYFUNCTION("TRIM(REGEXREPLACE(G162, ""^[^,]+,"", """"))"),"Dashtoon")</f>
        <v>Dashtoon</v>
      </c>
      <c r="D162" s="4" t="str">
        <f>IFERROR(__xludf.DUMMYFUNCTION("IF(REGEXMATCH(H162, ""linkedin\.com""), H162, """")"),"https://www.linkedin.com/in/soumyadeepmukherjee/?originalSubdomain=in")</f>
        <v>https://www.linkedin.com/in/soumyadeepmukherjee/?originalSubdomain=in</v>
      </c>
      <c r="G162" s="1" t="s">
        <v>484</v>
      </c>
      <c r="H162" s="5" t="s">
        <v>485</v>
      </c>
    </row>
    <row r="163">
      <c r="A163" s="1" t="s">
        <v>486</v>
      </c>
      <c r="B163" s="3" t="str">
        <f>IFERROR(__xludf.DUMMYFUNCTION("TRIM(REGEXEXTRACT(G163, ""^[^,]+""))"),"Chief Architect")</f>
        <v>Chief Architect</v>
      </c>
      <c r="C163" s="3" t="str">
        <f>IFERROR(__xludf.DUMMYFUNCTION("TRIM(REGEXREPLACE(G163, ""^[^,]+,"", """"))"),"Big Basket")</f>
        <v>Big Basket</v>
      </c>
      <c r="D163" s="4" t="str">
        <f>IFERROR(__xludf.DUMMYFUNCTION("IF(REGEXMATCH(H163, ""linkedin\.com""), H163, """")"),"https://www.linkedin.com/in/saratbuddhiraju/?originalSubdomain=in")</f>
        <v>https://www.linkedin.com/in/saratbuddhiraju/?originalSubdomain=in</v>
      </c>
      <c r="G163" s="1" t="s">
        <v>487</v>
      </c>
      <c r="H163" s="5" t="s">
        <v>488</v>
      </c>
    </row>
    <row r="164">
      <c r="A164" s="1" t="s">
        <v>489</v>
      </c>
      <c r="B164" s="3" t="str">
        <f>IFERROR(__xludf.DUMMYFUNCTION("TRIM(REGEXEXTRACT(G164, ""^[^,]+""))"),"CPTO")</f>
        <v>CPTO</v>
      </c>
      <c r="C164" s="3" t="str">
        <f>IFERROR(__xludf.DUMMYFUNCTION("TRIM(REGEXREPLACE(G164, ""^[^,]+,"", """"))"),"Cars24")</f>
        <v>Cars24</v>
      </c>
      <c r="D164" s="4" t="str">
        <f>IFERROR(__xludf.DUMMYFUNCTION("IF(REGEXMATCH(H164, ""linkedin\.com""), H164, """")"),"https://www.linkedin.com/in/aniruddh-jain-628ba79/?originalSubdomain=in")</f>
        <v>https://www.linkedin.com/in/aniruddh-jain-628ba79/?originalSubdomain=in</v>
      </c>
      <c r="G164" s="1" t="s">
        <v>490</v>
      </c>
      <c r="H164" s="5" t="s">
        <v>491</v>
      </c>
    </row>
    <row r="165">
      <c r="A165" s="1" t="s">
        <v>492</v>
      </c>
      <c r="B165" s="3" t="str">
        <f>IFERROR(__xludf.DUMMYFUNCTION("TRIM(REGEXEXTRACT(G165, ""^[^,]+""))"),"VP")</f>
        <v>VP</v>
      </c>
      <c r="C165" s="3" t="str">
        <f>IFERROR(__xludf.DUMMYFUNCTION("TRIM(REGEXREPLACE(G165, ""^[^,]+,"", """"))"),"Technology, Incred Finance")</f>
        <v>Technology, Incred Finance</v>
      </c>
      <c r="D165" s="4" t="str">
        <f>IFERROR(__xludf.DUMMYFUNCTION("IF(REGEXMATCH(H165, ""linkedin\.com""), H165, """")"),"https://www.linkedin.com/in/gaurav-jain-3630b5144/?")</f>
        <v>https://www.linkedin.com/in/gaurav-jain-3630b5144/?</v>
      </c>
      <c r="G165" s="1" t="s">
        <v>493</v>
      </c>
      <c r="H165" s="5" t="s">
        <v>494</v>
      </c>
    </row>
    <row r="166">
      <c r="A166" s="1" t="s">
        <v>495</v>
      </c>
      <c r="B166" s="3" t="str">
        <f>IFERROR(__xludf.DUMMYFUNCTION("TRIM(REGEXEXTRACT(G166, ""^[^,]+""))"),"Director Sales India and SAARC")</f>
        <v>Director Sales India and SAARC</v>
      </c>
      <c r="C166" s="3" t="str">
        <f>IFERROR(__xludf.DUMMYFUNCTION("TRIM(REGEXREPLACE(G166, ""^[^,]+,"", """"))"),"Commvault")</f>
        <v>Commvault</v>
      </c>
      <c r="D166" s="4" t="str">
        <f>IFERROR(__xludf.DUMMYFUNCTION("IF(REGEXMATCH(H166, ""linkedin\.com""), H166, """")"),"https://www.linkedin.com/in/aneeshdhawan/")</f>
        <v>https://www.linkedin.com/in/aneeshdhawan/</v>
      </c>
      <c r="G166" s="1" t="s">
        <v>496</v>
      </c>
      <c r="H166" s="5" t="s">
        <v>497</v>
      </c>
    </row>
    <row r="167">
      <c r="A167" s="1" t="s">
        <v>498</v>
      </c>
      <c r="B167" s="3" t="str">
        <f>IFERROR(__xludf.DUMMYFUNCTION("TRIM(REGEXEXTRACT(G167, ""^[^,]+""))"),"CTO")</f>
        <v>CTO</v>
      </c>
      <c r="C167" s="3" t="str">
        <f>IFERROR(__xludf.DUMMYFUNCTION("TRIM(REGEXREPLACE(G167, ""^[^,]+,"", """"))"),"Hector Beverages")</f>
        <v>Hector Beverages</v>
      </c>
      <c r="D167" s="4" t="str">
        <f>IFERROR(__xludf.DUMMYFUNCTION("IF(REGEXMATCH(H167, ""linkedin\.com""), H167, """")"),"https://www.linkedin.com/in/ashish-dhagat-6698651b/?originalSubdomain=in")</f>
        <v>https://www.linkedin.com/in/ashish-dhagat-6698651b/?originalSubdomain=in</v>
      </c>
      <c r="G167" s="1" t="s">
        <v>499</v>
      </c>
      <c r="H167" s="5" t="s">
        <v>500</v>
      </c>
    </row>
    <row r="168">
      <c r="A168" s="1" t="s">
        <v>501</v>
      </c>
      <c r="B168" s="3" t="str">
        <f>IFERROR(__xludf.DUMMYFUNCTION("TRIM(REGEXEXTRACT(G168, ""^[^,]+""))"),"Director of Engineering")</f>
        <v>Director of Engineering</v>
      </c>
      <c r="C168" s="3" t="str">
        <f>IFERROR(__xludf.DUMMYFUNCTION("TRIM(REGEXREPLACE(G168, ""^[^,]+,"", """"))"),"Scaler")</f>
        <v>Scaler</v>
      </c>
      <c r="D168" s="4" t="str">
        <f>IFERROR(__xludf.DUMMYFUNCTION("IF(REGEXMATCH(H168, ""linkedin\.com""), H168, """")"),"https://www.linkedin.com/in/raunify/")</f>
        <v>https://www.linkedin.com/in/raunify/</v>
      </c>
      <c r="G168" s="1" t="s">
        <v>502</v>
      </c>
      <c r="H168" s="5" t="s">
        <v>503</v>
      </c>
    </row>
    <row r="169">
      <c r="A169" s="1" t="s">
        <v>504</v>
      </c>
      <c r="B169" s="3" t="str">
        <f>IFERROR(__xludf.DUMMYFUNCTION("TRIM(REGEXEXTRACT(G169, ""^[^,]+""))"),"VP Information Security and ICT Governance")</f>
        <v>VP Information Security and ICT Governance</v>
      </c>
      <c r="C169" s="3" t="str">
        <f>IFERROR(__xludf.DUMMYFUNCTION("TRIM(REGEXREPLACE(G169, ""^[^,]+,"", """"))"),"Bangalore Airport")</f>
        <v>Bangalore Airport</v>
      </c>
      <c r="D169" s="4" t="str">
        <f>IFERROR(__xludf.DUMMYFUNCTION("IF(REGEXMATCH(H169, ""linkedin\.com""), H169, """")"),"https://in.linkedin.com/in/jacxinefernandez")</f>
        <v>https://in.linkedin.com/in/jacxinefernandez</v>
      </c>
      <c r="G169" s="1" t="s">
        <v>505</v>
      </c>
      <c r="H169" s="5" t="s">
        <v>506</v>
      </c>
    </row>
    <row r="170">
      <c r="A170" s="1" t="s">
        <v>507</v>
      </c>
      <c r="B170" s="3" t="str">
        <f>IFERROR(__xludf.DUMMYFUNCTION("TRIM(REGEXEXTRACT(G170, ""^[^,]+""))"),"Co-founder")</f>
        <v>Co-founder</v>
      </c>
      <c r="C170" s="3" t="str">
        <f>IFERROR(__xludf.DUMMYFUNCTION("TRIM(REGEXREPLACE(G170, ""^[^,]+,"", """"))"),"InstaMojo")</f>
        <v>InstaMojo</v>
      </c>
      <c r="D170" s="4" t="str">
        <f>IFERROR(__xludf.DUMMYFUNCTION("IF(REGEXMATCH(H170, ""linkedin\.com""), H170, """")"),"https://www.linkedin.com/in/ankurs24/")</f>
        <v>https://www.linkedin.com/in/ankurs24/</v>
      </c>
      <c r="G170" s="1" t="s">
        <v>508</v>
      </c>
      <c r="H170" s="5" t="s">
        <v>509</v>
      </c>
    </row>
    <row r="171">
      <c r="A171" s="1" t="s">
        <v>510</v>
      </c>
      <c r="B171" s="3" t="str">
        <f>IFERROR(__xludf.DUMMYFUNCTION("TRIM(REGEXEXTRACT(G171, ""^[^,]+""))"),"CISO")</f>
        <v>CISO</v>
      </c>
      <c r="C171" s="3" t="str">
        <f>IFERROR(__xludf.DUMMYFUNCTION("TRIM(REGEXREPLACE(G171, ""^[^,]+,"", """"))"),"Innoviti")</f>
        <v>Innoviti</v>
      </c>
      <c r="D171" s="4" t="str">
        <f>IFERROR(__xludf.DUMMYFUNCTION("IF(REGEXMATCH(H171, ""linkedin\.com""), H171, """")"),"https://www.linkedin.com/in/vilas-jacob-079k/")</f>
        <v>https://www.linkedin.com/in/vilas-jacob-079k/</v>
      </c>
      <c r="G171" s="1" t="s">
        <v>511</v>
      </c>
      <c r="H171" s="5" t="s">
        <v>512</v>
      </c>
    </row>
    <row r="172">
      <c r="A172" s="1" t="s">
        <v>513</v>
      </c>
      <c r="B172" s="3" t="str">
        <f>IFERROR(__xludf.DUMMYFUNCTION("TRIM(REGEXEXTRACT(G172, ""^[^,]+""))"),"Director of Engineering")</f>
        <v>Director of Engineering</v>
      </c>
      <c r="C172" s="3" t="str">
        <f>IFERROR(__xludf.DUMMYFUNCTION("TRIM(REGEXREPLACE(G172, ""^[^,]+,"", """"))"),"Jupiter")</f>
        <v>Jupiter</v>
      </c>
      <c r="D172" s="4" t="str">
        <f>IFERROR(__xludf.DUMMYFUNCTION("IF(REGEXMATCH(H172, ""linkedin\.com""), H172, """")"),"https://www.linkedin.com/in/animesh-kumar-49714321/")</f>
        <v>https://www.linkedin.com/in/animesh-kumar-49714321/</v>
      </c>
      <c r="G172" s="1" t="s">
        <v>514</v>
      </c>
      <c r="H172" s="5" t="s">
        <v>515</v>
      </c>
    </row>
    <row r="173">
      <c r="A173" s="1" t="s">
        <v>516</v>
      </c>
      <c r="B173" s="3" t="str">
        <f>IFERROR(__xludf.DUMMYFUNCTION("TRIM(REGEXEXTRACT(G173, ""^[^,]+""))"),"Partner")</f>
        <v>Partner</v>
      </c>
      <c r="C173" s="3" t="str">
        <f>IFERROR(__xludf.DUMMYFUNCTION("TRIM(REGEXREPLACE(G173, ""^[^,]+,"", """"))"),"BEENEXT")</f>
        <v>BEENEXT</v>
      </c>
      <c r="D173" s="4" t="str">
        <f>IFERROR(__xludf.DUMMYFUNCTION("IF(REGEXMATCH(H173, ""linkedin\.com""), H173, """")"),"https://www.linkedin.com/in/chinmayasaxena/?originalSubdomain=in")</f>
        <v>https://www.linkedin.com/in/chinmayasaxena/?originalSubdomain=in</v>
      </c>
      <c r="G173" s="1" t="s">
        <v>517</v>
      </c>
      <c r="H173" s="5" t="s">
        <v>518</v>
      </c>
    </row>
    <row r="174">
      <c r="A174" s="1" t="s">
        <v>519</v>
      </c>
      <c r="B174" s="3" t="str">
        <f>IFERROR(__xludf.DUMMYFUNCTION("TRIM(REGEXEXTRACT(G174, ""^[^,]+""))"),"Senior Vice President - Engg")</f>
        <v>Senior Vice President - Engg</v>
      </c>
      <c r="C174" s="3" t="str">
        <f>IFERROR(__xludf.DUMMYFUNCTION("TRIM(REGEXREPLACE(G174, ""^[^,]+,"", """"))"),"Research, Platform, TookiTaaki")</f>
        <v>Research, Platform, TookiTaaki</v>
      </c>
      <c r="D174" s="4" t="str">
        <f>IFERROR(__xludf.DUMMYFUNCTION("IF(REGEXMATCH(H174, ""linkedin\.com""), H174, """")"),"https://www.linkedin.com/in/jayprasadhegde/?originalSubdomain=in")</f>
        <v>https://www.linkedin.com/in/jayprasadhegde/?originalSubdomain=in</v>
      </c>
      <c r="G174" s="1" t="s">
        <v>520</v>
      </c>
      <c r="H174" s="5" t="s">
        <v>521</v>
      </c>
    </row>
    <row r="175">
      <c r="A175" s="1" t="s">
        <v>522</v>
      </c>
      <c r="B175" s="3" t="str">
        <f>IFERROR(__xludf.DUMMYFUNCTION("TRIM(REGEXEXTRACT(G175, ""^[^,]+""))"),"Co-founder")</f>
        <v>Co-founder</v>
      </c>
      <c r="C175" s="3" t="str">
        <f>IFERROR(__xludf.DUMMYFUNCTION("TRIM(REGEXREPLACE(G175, ""^[^,]+,"", """"))"),"Smallest AI")</f>
        <v>Smallest AI</v>
      </c>
      <c r="D175" s="4" t="str">
        <f>IFERROR(__xludf.DUMMYFUNCTION("IF(REGEXMATCH(H175, ""linkedin\.com""), H175, """")"),"https://www.linkedin.com/in/akshat-2503/")</f>
        <v>https://www.linkedin.com/in/akshat-2503/</v>
      </c>
      <c r="G175" s="1" t="s">
        <v>523</v>
      </c>
      <c r="H175" s="5" t="s">
        <v>524</v>
      </c>
    </row>
    <row r="176">
      <c r="A176" s="1" t="s">
        <v>525</v>
      </c>
      <c r="B176" s="3" t="str">
        <f>IFERROR(__xludf.DUMMYFUNCTION("TRIM(REGEXEXTRACT(G176, ""^[^,]+""))"),"Chief AI Scientist")</f>
        <v>Chief AI Scientist</v>
      </c>
      <c r="C176" s="3" t="str">
        <f>IFERROR(__xludf.DUMMYFUNCTION("TRIM(REGEXREPLACE(G176, ""^[^,]+,"", """"))"),"Intangles")</f>
        <v>Intangles</v>
      </c>
      <c r="D176" s="4" t="str">
        <f>IFERROR(__xludf.DUMMYFUNCTION("IF(REGEXMATCH(H176, ""linkedin\.com""), H176, """")"),"https://www.linkedin.com/in/hariharan-ravishankar-01471321/?originalSubdomain=in")</f>
        <v>https://www.linkedin.com/in/hariharan-ravishankar-01471321/?originalSubdomain=in</v>
      </c>
      <c r="G176" s="1" t="s">
        <v>526</v>
      </c>
      <c r="H176" s="5" t="s">
        <v>527</v>
      </c>
    </row>
    <row r="177">
      <c r="A177" s="1" t="s">
        <v>528</v>
      </c>
      <c r="B177" s="3" t="str">
        <f>IFERROR(__xludf.DUMMYFUNCTION("TRIM(REGEXEXTRACT(G177, ""^[^,]+""))"),"Director-Engineering and Chief of Staff - CTO")</f>
        <v>Director-Engineering and Chief of Staff - CTO</v>
      </c>
      <c r="C177" s="3" t="str">
        <f>IFERROR(__xludf.DUMMYFUNCTION("TRIM(REGEXREPLACE(G177, ""^[^,]+,"", """"))"),"Swiggy")</f>
        <v>Swiggy</v>
      </c>
      <c r="D177" s="4" t="str">
        <f>IFERROR(__xludf.DUMMYFUNCTION("IF(REGEXMATCH(H177, ""linkedin\.com""), H177, """")"),"https://www.linkedin.com/in/vipinkumar-tiwari/?originalSubdomain=in")</f>
        <v>https://www.linkedin.com/in/vipinkumar-tiwari/?originalSubdomain=in</v>
      </c>
      <c r="G177" s="1" t="s">
        <v>529</v>
      </c>
      <c r="H177" s="5" t="s">
        <v>530</v>
      </c>
    </row>
    <row r="178">
      <c r="A178" s="1" t="s">
        <v>531</v>
      </c>
      <c r="B178" s="3" t="str">
        <f>IFERROR(__xludf.DUMMYFUNCTION("TRIM(REGEXEXTRACT(G178, ""^[^,]+""))"),"Senior Director - Technology")</f>
        <v>Senior Director - Technology</v>
      </c>
      <c r="C178" s="3" t="str">
        <f>IFERROR(__xludf.DUMMYFUNCTION("TRIM(REGEXREPLACE(G178, ""^[^,]+,"", """"))"),"Elastic Run")</f>
        <v>Elastic Run</v>
      </c>
      <c r="D178" s="4" t="str">
        <f>IFERROR(__xludf.DUMMYFUNCTION("IF(REGEXMATCH(H178, ""linkedin\.com""), H178, """")"),"https://www.linkedin.com/in/ajitpendse/?originalSubdomain=in")</f>
        <v>https://www.linkedin.com/in/ajitpendse/?originalSubdomain=in</v>
      </c>
      <c r="G178" s="1" t="s">
        <v>532</v>
      </c>
      <c r="H178" s="5" t="s">
        <v>533</v>
      </c>
    </row>
    <row r="179">
      <c r="A179" s="1" t="s">
        <v>534</v>
      </c>
      <c r="B179" s="3" t="str">
        <f>IFERROR(__xludf.DUMMYFUNCTION("TRIM(REGEXEXTRACT(G179, ""^[^,]+""))"),"CTO")</f>
        <v>CTO</v>
      </c>
      <c r="C179" s="3" t="str">
        <f>IFERROR(__xludf.DUMMYFUNCTION("TRIM(REGEXREPLACE(G179, ""^[^,]+,"", """"))"),"Big Haat")</f>
        <v>Big Haat</v>
      </c>
      <c r="D179" s="6" t="str">
        <f>IFERROR(__xludf.DUMMYFUNCTION("IF(REGEXMATCH(H179, ""linkedin\.com""), H179, """")"),"")</f>
        <v/>
      </c>
      <c r="G179" s="1" t="s">
        <v>535</v>
      </c>
      <c r="H179" s="5" t="s">
        <v>43</v>
      </c>
    </row>
    <row r="180">
      <c r="A180" s="1" t="s">
        <v>536</v>
      </c>
      <c r="B180" s="3" t="str">
        <f>IFERROR(__xludf.DUMMYFUNCTION("TRIM(REGEXEXTRACT(G180, ""^[^,]+""))"),"VP/ Head of Product &amp; Tech")</f>
        <v>VP/ Head of Product &amp; Tech</v>
      </c>
      <c r="C180" s="3" t="str">
        <f>IFERROR(__xludf.DUMMYFUNCTION("TRIM(REGEXREPLACE(G180, ""^[^,]+,"", """"))"),"Homelane")</f>
        <v>Homelane</v>
      </c>
      <c r="D180" s="6" t="str">
        <f>IFERROR(__xludf.DUMMYFUNCTION("IF(REGEXMATCH(H180, ""linkedin\.com""), H180, """")"),"")</f>
        <v/>
      </c>
      <c r="G180" s="1" t="s">
        <v>537</v>
      </c>
      <c r="H180" s="5" t="s">
        <v>43</v>
      </c>
    </row>
    <row r="181">
      <c r="A181" s="1" t="s">
        <v>538</v>
      </c>
      <c r="B181" s="3" t="str">
        <f>IFERROR(__xludf.DUMMYFUNCTION("TRIM(REGEXEXTRACT(G181, ""^[^,]+""))"),"Group CEO &amp; MD")</f>
        <v>Group CEO &amp; MD</v>
      </c>
      <c r="C181" s="3" t="str">
        <f>IFERROR(__xludf.DUMMYFUNCTION("TRIM(REGEXREPLACE(G181, ""^[^,]+,"", """"))"),"Ibus Network")</f>
        <v>Ibus Network</v>
      </c>
      <c r="D181" s="6" t="str">
        <f>IFERROR(__xludf.DUMMYFUNCTION("IF(REGEXMATCH(H181, ""linkedin\.com""), H181, """")"),"")</f>
        <v/>
      </c>
      <c r="G181" s="1" t="s">
        <v>539</v>
      </c>
      <c r="H181" s="5" t="s">
        <v>43</v>
      </c>
    </row>
    <row r="182">
      <c r="A182" s="1" t="s">
        <v>540</v>
      </c>
      <c r="B182" s="3" t="str">
        <f>IFERROR(__xludf.DUMMYFUNCTION("TRIM(REGEXEXTRACT(G182, ""^[^,]+""))"),"Director &amp; Co-Founder")</f>
        <v>Director &amp; Co-Founder</v>
      </c>
      <c r="C182" s="3" t="str">
        <f>IFERROR(__xludf.DUMMYFUNCTION("TRIM(REGEXREPLACE(G182, ""^[^,]+,"", """"))"),"Log9 Materials")</f>
        <v>Log9 Materials</v>
      </c>
      <c r="D182" s="6" t="str">
        <f>IFERROR(__xludf.DUMMYFUNCTION("IF(REGEXMATCH(H182, ""linkedin\.com""), H182, """")"),"")</f>
        <v/>
      </c>
      <c r="G182" s="1" t="s">
        <v>541</v>
      </c>
      <c r="H182" s="5" t="s">
        <v>43</v>
      </c>
    </row>
    <row r="183">
      <c r="A183" s="1" t="s">
        <v>542</v>
      </c>
      <c r="B183" s="3" t="str">
        <f>IFERROR(__xludf.DUMMYFUNCTION("TRIM(REGEXEXTRACT(G183, ""^[^,]+""))"),"Head of Engineering")</f>
        <v>Head of Engineering</v>
      </c>
      <c r="C183" s="3" t="str">
        <f>IFERROR(__xludf.DUMMYFUNCTION("TRIM(REGEXREPLACE(G183, ""^[^,]+,"", """"))"),"Vahan Ai")</f>
        <v>Vahan Ai</v>
      </c>
      <c r="D183" s="6" t="str">
        <f>IFERROR(__xludf.DUMMYFUNCTION("IF(REGEXMATCH(H183, ""linkedin\.com""), H183, """")"),"")</f>
        <v/>
      </c>
      <c r="G183" s="1" t="s">
        <v>543</v>
      </c>
      <c r="H183" s="5" t="s">
        <v>43</v>
      </c>
    </row>
    <row r="184">
      <c r="A184" s="1" t="s">
        <v>544</v>
      </c>
      <c r="B184" s="3" t="str">
        <f>IFERROR(__xludf.DUMMYFUNCTION("TRIM(REGEXEXTRACT(G184, ""^[^,]+""))"),"Vice President and Head of Engineering")</f>
        <v>Vice President and Head of Engineering</v>
      </c>
      <c r="C184" s="3" t="str">
        <f>IFERROR(__xludf.DUMMYFUNCTION("TRIM(REGEXREPLACE(G184, ""^[^,]+,"", """"))"),"AppsForBharat")</f>
        <v>AppsForBharat</v>
      </c>
      <c r="D184" s="6" t="str">
        <f>IFERROR(__xludf.DUMMYFUNCTION("IF(REGEXMATCH(H184, ""linkedin\.com""), H184, """")"),"")</f>
        <v/>
      </c>
      <c r="G184" s="1" t="s">
        <v>545</v>
      </c>
      <c r="H184" s="5" t="s">
        <v>43</v>
      </c>
    </row>
    <row r="185">
      <c r="A185" s="1" t="s">
        <v>501</v>
      </c>
      <c r="B185" s="3" t="str">
        <f>IFERROR(__xludf.DUMMYFUNCTION("TRIM(REGEXEXTRACT(G185, ""^[^,]+""))"),"Director of Engineering")</f>
        <v>Director of Engineering</v>
      </c>
      <c r="C185" s="3" t="str">
        <f>IFERROR(__xludf.DUMMYFUNCTION("TRIM(REGEXREPLACE(G185, ""^[^,]+,"", """"))"),"Scaler")</f>
        <v>Scaler</v>
      </c>
      <c r="D185" s="6" t="str">
        <f>IFERROR(__xludf.DUMMYFUNCTION("IF(REGEXMATCH(H185, ""linkedin\.com""), H185, """")"),"")</f>
        <v/>
      </c>
      <c r="G185" s="1" t="s">
        <v>502</v>
      </c>
      <c r="H185" s="5" t="s">
        <v>43</v>
      </c>
    </row>
    <row r="186">
      <c r="A186" s="1" t="s">
        <v>546</v>
      </c>
      <c r="B186" s="3" t="str">
        <f>IFERROR(__xludf.DUMMYFUNCTION("TRIM(REGEXEXTRACT(G186, ""^[^,]+""))"),"Founder and CEO")</f>
        <v>Founder and CEO</v>
      </c>
      <c r="C186" s="3" t="str">
        <f>IFERROR(__xludf.DUMMYFUNCTION("TRIM(REGEXREPLACE(G186, ""^[^,]+,"", """"))"),"KredX")</f>
        <v>KredX</v>
      </c>
      <c r="D186" s="6" t="str">
        <f>IFERROR(__xludf.DUMMYFUNCTION("IF(REGEXMATCH(H186, ""linkedin\.com""), H186, """")"),"")</f>
        <v/>
      </c>
      <c r="G186" s="1" t="s">
        <v>547</v>
      </c>
      <c r="H186" s="5" t="s">
        <v>43</v>
      </c>
    </row>
    <row r="187">
      <c r="A187" s="1" t="s">
        <v>548</v>
      </c>
      <c r="B187" s="3" t="str">
        <f>IFERROR(__xludf.DUMMYFUNCTION("TRIM(REGEXEXTRACT(G187, ""^[^,]+""))"),"CMO")</f>
        <v>CMO</v>
      </c>
      <c r="C187" s="3" t="str">
        <f>IFERROR(__xludf.DUMMYFUNCTION("TRIM(REGEXREPLACE(G187, ""^[^,]+,"", """"))"),"TableSpace")</f>
        <v>TableSpace</v>
      </c>
      <c r="D187" s="6" t="str">
        <f>IFERROR(__xludf.DUMMYFUNCTION("IF(REGEXMATCH(H187, ""linkedin\.com""), H187, """")"),"")</f>
        <v/>
      </c>
      <c r="G187" s="1" t="s">
        <v>549</v>
      </c>
      <c r="H187" s="5" t="s">
        <v>43</v>
      </c>
    </row>
    <row r="188">
      <c r="A188" s="1" t="s">
        <v>550</v>
      </c>
      <c r="B188" s="3" t="str">
        <f>IFERROR(__xludf.DUMMYFUNCTION("TRIM(REGEXEXTRACT(G188, ""^[^,]+""))"),"Co-founder &amp; CTO")</f>
        <v>Co-founder &amp; CTO</v>
      </c>
      <c r="C188" s="3" t="str">
        <f>IFERROR(__xludf.DUMMYFUNCTION("TRIM(REGEXREPLACE(G188, ""^[^,]+,"", """"))"),"FYERS")</f>
        <v>FYERS</v>
      </c>
      <c r="D188" s="6" t="str">
        <f>IFERROR(__xludf.DUMMYFUNCTION("IF(REGEXMATCH(H188, ""linkedin\.com""), H188, """")"),"")</f>
        <v/>
      </c>
      <c r="G188" s="1" t="s">
        <v>551</v>
      </c>
      <c r="H188" s="5" t="s">
        <v>43</v>
      </c>
    </row>
    <row r="189">
      <c r="A189" s="1" t="s">
        <v>552</v>
      </c>
      <c r="B189" s="3" t="str">
        <f>IFERROR(__xludf.DUMMYFUNCTION("TRIM(REGEXEXTRACT(G189, ""^[^,]+""))"),"Head of Engineering")</f>
        <v>Head of Engineering</v>
      </c>
      <c r="C189" s="3" t="str">
        <f>IFERROR(__xludf.DUMMYFUNCTION("TRIM(REGEXREPLACE(G189, ""^[^,]+,"", """"))"),"Newton School")</f>
        <v>Newton School</v>
      </c>
      <c r="D189" s="6" t="str">
        <f>IFERROR(__xludf.DUMMYFUNCTION("IF(REGEXMATCH(H189, ""linkedin\.com""), H189, """")"),"")</f>
        <v/>
      </c>
      <c r="G189" s="1" t="s">
        <v>553</v>
      </c>
      <c r="H189" s="5" t="s">
        <v>43</v>
      </c>
    </row>
    <row r="190">
      <c r="A190" s="1" t="s">
        <v>554</v>
      </c>
      <c r="B190" s="3" t="str">
        <f>IFERROR(__xludf.DUMMYFUNCTION("TRIM(REGEXEXTRACT(G190, ""^[^,]+""))"),"Head- Cloud Engineering India")</f>
        <v>Head- Cloud Engineering India</v>
      </c>
      <c r="C190" s="3" t="str">
        <f>IFERROR(__xludf.DUMMYFUNCTION("TRIM(REGEXREPLACE(G190, ""^[^,]+,"", """"))"),"Infrastructure Services , Oracle")</f>
        <v>Infrastructure Services , Oracle</v>
      </c>
      <c r="D190" s="6" t="str">
        <f>IFERROR(__xludf.DUMMYFUNCTION("IF(REGEXMATCH(H190, ""linkedin\.com""), H190, """")"),"")</f>
        <v/>
      </c>
      <c r="G190" s="1" t="s">
        <v>555</v>
      </c>
      <c r="H190" s="5" t="s">
        <v>43</v>
      </c>
    </row>
    <row r="191">
      <c r="A191" s="1" t="s">
        <v>556</v>
      </c>
      <c r="B191" s="3" t="str">
        <f>IFERROR(__xludf.DUMMYFUNCTION("TRIM(REGEXEXTRACT(G191, ""^[^,]+""))"),"Head of Engineering")</f>
        <v>Head of Engineering</v>
      </c>
      <c r="C191" s="3" t="str">
        <f>IFERROR(__xludf.DUMMYFUNCTION("TRIM(REGEXREPLACE(G191, ""^[^,]+,"", """"))"),"Business Banking, Razor Pay")</f>
        <v>Business Banking, Razor Pay</v>
      </c>
      <c r="D191" s="6" t="str">
        <f>IFERROR(__xludf.DUMMYFUNCTION("IF(REGEXMATCH(H191, ""linkedin\.com""), H191, """")"),"")</f>
        <v/>
      </c>
      <c r="G191" s="1" t="s">
        <v>557</v>
      </c>
      <c r="H191" s="5" t="s">
        <v>43</v>
      </c>
    </row>
    <row r="192">
      <c r="A192" s="1" t="s">
        <v>558</v>
      </c>
      <c r="B192" s="3" t="str">
        <f>IFERROR(__xludf.DUMMYFUNCTION("TRIM(REGEXEXTRACT(G192, ""^[^,]+""))"),"CTO")</f>
        <v>CTO</v>
      </c>
      <c r="C192" s="3" t="str">
        <f>IFERROR(__xludf.DUMMYFUNCTION("TRIM(REGEXREPLACE(G192, ""^[^,]+,"", """"))"),"Apna Co")</f>
        <v>Apna Co</v>
      </c>
      <c r="D192" s="6" t="str">
        <f>IFERROR(__xludf.DUMMYFUNCTION("IF(REGEXMATCH(H192, ""linkedin\.com""), H192, """")"),"")</f>
        <v/>
      </c>
      <c r="G192" s="1" t="s">
        <v>559</v>
      </c>
      <c r="H192" s="5" t="s">
        <v>43</v>
      </c>
    </row>
    <row r="193">
      <c r="A193" s="1" t="s">
        <v>560</v>
      </c>
      <c r="B193" s="3" t="str">
        <f>IFERROR(__xludf.DUMMYFUNCTION("TRIM(REGEXEXTRACT(G193, ""^[^,]+""))"),"Vp Engineering")</f>
        <v>Vp Engineering</v>
      </c>
      <c r="C193" s="3" t="str">
        <f>IFERROR(__xludf.DUMMYFUNCTION("TRIM(REGEXREPLACE(G193, ""^[^,]+,"", """"))"),"Zeta")</f>
        <v>Zeta</v>
      </c>
      <c r="D193" s="6" t="str">
        <f>IFERROR(__xludf.DUMMYFUNCTION("IF(REGEXMATCH(H193, ""linkedin\.com""), H193, """")"),"")</f>
        <v/>
      </c>
      <c r="G193" s="1" t="s">
        <v>561</v>
      </c>
      <c r="H193" s="5" t="s">
        <v>43</v>
      </c>
    </row>
    <row r="194">
      <c r="A194" s="1" t="s">
        <v>495</v>
      </c>
      <c r="B194" s="3" t="str">
        <f>IFERROR(__xludf.DUMMYFUNCTION("TRIM(REGEXEXTRACT(G194, ""^[^,]+""))"),"Director - Sales")</f>
        <v>Director - Sales</v>
      </c>
      <c r="C194" s="3" t="str">
        <f>IFERROR(__xludf.DUMMYFUNCTION("TRIM(REGEXREPLACE(G194, ""^[^,]+,"", """"))"),"India and SAARC, Commvault")</f>
        <v>India and SAARC, Commvault</v>
      </c>
      <c r="D194" s="6" t="str">
        <f>IFERROR(__xludf.DUMMYFUNCTION("IF(REGEXMATCH(H194, ""linkedin\.com""), H194, """")"),"")</f>
        <v/>
      </c>
      <c r="G194" s="1" t="s">
        <v>562</v>
      </c>
      <c r="H194" s="5" t="s">
        <v>43</v>
      </c>
    </row>
    <row r="195">
      <c r="A195" s="1" t="s">
        <v>563</v>
      </c>
      <c r="B195" s="3" t="str">
        <f>IFERROR(__xludf.DUMMYFUNCTION("TRIM(REGEXEXTRACT(G195, ""^[^,]+""))"),"CISO")</f>
        <v>CISO</v>
      </c>
      <c r="C195" s="3" t="str">
        <f>IFERROR(__xludf.DUMMYFUNCTION("TRIM(REGEXREPLACE(G195, ""^[^,]+,"", """"))"),"Razorpay")</f>
        <v>Razorpay</v>
      </c>
      <c r="D195" s="6" t="str">
        <f>IFERROR(__xludf.DUMMYFUNCTION("IF(REGEXMATCH(H195, ""linkedin\.com""), H195, """")"),"")</f>
        <v/>
      </c>
      <c r="G195" s="1" t="s">
        <v>564</v>
      </c>
      <c r="H195" s="5" t="s">
        <v>43</v>
      </c>
    </row>
    <row r="196">
      <c r="A196" s="1" t="s">
        <v>565</v>
      </c>
      <c r="B196" s="3" t="str">
        <f>IFERROR(__xludf.DUMMYFUNCTION("TRIM(REGEXEXTRACT(G196, ""^[^,]+""))"),"CTO")</f>
        <v>CTO</v>
      </c>
      <c r="C196" s="3" t="str">
        <f>IFERROR(__xludf.DUMMYFUNCTION("TRIM(REGEXREPLACE(G196, ""^[^,]+,"", """"))"),"ClearTax")</f>
        <v>ClearTax</v>
      </c>
      <c r="D196" s="6" t="str">
        <f>IFERROR(__xludf.DUMMYFUNCTION("IF(REGEXMATCH(H196, ""linkedin\.com""), H196, """")"),"")</f>
        <v/>
      </c>
      <c r="G196" s="1" t="s">
        <v>566</v>
      </c>
      <c r="H196" s="5" t="s">
        <v>43</v>
      </c>
    </row>
    <row r="197">
      <c r="A197" s="1" t="s">
        <v>504</v>
      </c>
      <c r="B197" s="3" t="str">
        <f>IFERROR(__xludf.DUMMYFUNCTION("TRIM(REGEXEXTRACT(G197, ""^[^,]+""))"),"VP - Information Security &amp; ICT Governance")</f>
        <v>VP - Information Security &amp; ICT Governance</v>
      </c>
      <c r="C197" s="3" t="str">
        <f>IFERROR(__xludf.DUMMYFUNCTION("TRIM(REGEXREPLACE(G197, ""^[^,]+,"", """"))"),"Bangalore Airport")</f>
        <v>Bangalore Airport</v>
      </c>
      <c r="D197" s="6" t="str">
        <f>IFERROR(__xludf.DUMMYFUNCTION("IF(REGEXMATCH(H197, ""linkedin\.com""), H197, """")"),"")</f>
        <v/>
      </c>
      <c r="G197" s="1" t="s">
        <v>567</v>
      </c>
      <c r="H197" s="5" t="s">
        <v>43</v>
      </c>
    </row>
    <row r="198">
      <c r="A198" s="1" t="s">
        <v>507</v>
      </c>
      <c r="B198" s="3" t="str">
        <f>IFERROR(__xludf.DUMMYFUNCTION("TRIM(REGEXEXTRACT(G198, ""^[^,]+""))"),"Co- Founder")</f>
        <v>Co- Founder</v>
      </c>
      <c r="C198" s="3" t="str">
        <f>IFERROR(__xludf.DUMMYFUNCTION("TRIM(REGEXREPLACE(G198, ""^[^,]+,"", """"))"),"InstaMojo")</f>
        <v>InstaMojo</v>
      </c>
      <c r="D198" s="6" t="str">
        <f>IFERROR(__xludf.DUMMYFUNCTION("IF(REGEXMATCH(H198, ""linkedin\.com""), H198, """")"),"")</f>
        <v/>
      </c>
      <c r="G198" s="1" t="s">
        <v>568</v>
      </c>
      <c r="H198" s="5" t="s">
        <v>43</v>
      </c>
    </row>
    <row r="199">
      <c r="A199" s="1" t="s">
        <v>569</v>
      </c>
      <c r="B199" s="3" t="str">
        <f>IFERROR(__xludf.DUMMYFUNCTION("TRIM(REGEXEXTRACT(G199, ""^[^,]+""))"),"AVP - IT")</f>
        <v>AVP - IT</v>
      </c>
      <c r="C199" s="3" t="str">
        <f>IFERROR(__xludf.DUMMYFUNCTION("TRIM(REGEXREPLACE(G199, ""^[^,]+,"", """"))"),"Scalene Works People Solution")</f>
        <v>Scalene Works People Solution</v>
      </c>
      <c r="D199" s="6" t="str">
        <f>IFERROR(__xludf.DUMMYFUNCTION("IF(REGEXMATCH(H199, ""linkedin\.com""), H199, """")"),"")</f>
        <v/>
      </c>
      <c r="G199" s="1" t="s">
        <v>570</v>
      </c>
      <c r="H199" s="5" t="s">
        <v>43</v>
      </c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</hyperlinks>
  <drawing r:id="rId199"/>
</worksheet>
</file>